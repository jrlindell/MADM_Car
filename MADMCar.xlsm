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/>
  <bookViews>
    <workbookView xWindow="-735" yWindow="1350" windowWidth="15360" windowHeight="7860"/>
  </bookViews>
  <sheets>
    <sheet name="Hierarchy &amp; Data" sheetId="44" r:id="rId1"/>
    <sheet name="TopDown" sheetId="38" r:id="rId2"/>
    <sheet name="Sheet1" sheetId="46" r:id="rId3"/>
  </sheets>
  <definedNames>
    <definedName name="inflList" hidden="1">"10000000000000000000000000000000000000000000000000000000000000000000000000000000000000000000000000000000000000000000000000000000000000000000000000000000000000000000000000000000000000000000000000000000"</definedName>
    <definedName name="_xlnm.Print_Area" localSheetId="0">'Hierarchy &amp; Data'!$F$4:$O$23</definedName>
    <definedName name="treeList" hidden="1">"10000000000000000000000000000000000000000000000000000000000000000000000000000000000000000000000000000000000000000000000000000000000000000000000000000000000000000000000000000000000000000000000000000000"</definedName>
  </definedNames>
  <calcPr calcId="145621"/>
</workbook>
</file>

<file path=xl/calcChain.xml><?xml version="1.0" encoding="utf-8"?>
<calcChain xmlns="http://schemas.openxmlformats.org/spreadsheetml/2006/main">
  <c r="D40" i="44" l="1"/>
  <c r="D38" i="44"/>
  <c r="D36" i="44"/>
  <c r="D34" i="44"/>
  <c r="D32" i="44"/>
  <c r="G59" i="44"/>
  <c r="H59" i="44"/>
  <c r="I59" i="44"/>
  <c r="J59" i="44"/>
  <c r="K59" i="44"/>
  <c r="L59" i="44"/>
  <c r="M59" i="44"/>
  <c r="N59" i="44"/>
  <c r="O59" i="44"/>
  <c r="P59" i="44"/>
  <c r="F59" i="44"/>
  <c r="G57" i="44"/>
  <c r="H57" i="44"/>
  <c r="I57" i="44"/>
  <c r="J57" i="44"/>
  <c r="K57" i="44"/>
  <c r="L57" i="44"/>
  <c r="M57" i="44"/>
  <c r="N57" i="44"/>
  <c r="O57" i="44"/>
  <c r="P57" i="44"/>
  <c r="F57" i="44"/>
  <c r="G55" i="44"/>
  <c r="H55" i="44"/>
  <c r="I55" i="44"/>
  <c r="J55" i="44"/>
  <c r="K55" i="44"/>
  <c r="L55" i="44"/>
  <c r="M55" i="44"/>
  <c r="N55" i="44"/>
  <c r="O55" i="44"/>
  <c r="P55" i="44"/>
  <c r="F55" i="44"/>
  <c r="G53" i="44"/>
  <c r="H53" i="44"/>
  <c r="I53" i="44"/>
  <c r="J53" i="44"/>
  <c r="K53" i="44"/>
  <c r="L53" i="44"/>
  <c r="M53" i="44"/>
  <c r="N53" i="44"/>
  <c r="O53" i="44"/>
  <c r="P53" i="44"/>
  <c r="F53" i="44"/>
  <c r="Q53" i="44" s="1"/>
  <c r="G51" i="44"/>
  <c r="H51" i="44"/>
  <c r="Q51" i="44" s="1"/>
  <c r="I51" i="44"/>
  <c r="J51" i="44"/>
  <c r="K51" i="44"/>
  <c r="L51" i="44"/>
  <c r="M51" i="44"/>
  <c r="N51" i="44"/>
  <c r="O51" i="44"/>
  <c r="P51" i="44"/>
  <c r="F51" i="44"/>
  <c r="F49" i="44"/>
  <c r="R51" i="44"/>
  <c r="R53" i="44"/>
  <c r="F54" i="44"/>
  <c r="F58" i="44" s="1"/>
  <c r="G54" i="44"/>
  <c r="H54" i="44"/>
  <c r="I54" i="44"/>
  <c r="J54" i="44"/>
  <c r="J58" i="44" s="1"/>
  <c r="K54" i="44"/>
  <c r="K58" i="44" s="1"/>
  <c r="L54" i="44"/>
  <c r="M54" i="44"/>
  <c r="N54" i="44"/>
  <c r="N58" i="44" s="1"/>
  <c r="O54" i="44"/>
  <c r="O58" i="44" s="1"/>
  <c r="P54" i="44"/>
  <c r="F56" i="44"/>
  <c r="G56" i="44"/>
  <c r="H56" i="44"/>
  <c r="I56" i="44"/>
  <c r="J56" i="44"/>
  <c r="K56" i="44"/>
  <c r="L56" i="44"/>
  <c r="M56" i="44"/>
  <c r="N56" i="44"/>
  <c r="O56" i="44"/>
  <c r="P56" i="44"/>
  <c r="Q57" i="44"/>
  <c r="H58" i="44"/>
  <c r="I58" i="44"/>
  <c r="L58" i="44"/>
  <c r="M58" i="44"/>
  <c r="P58" i="44"/>
  <c r="E51" i="44"/>
  <c r="E53" i="44"/>
  <c r="E55" i="44"/>
  <c r="E57" i="44"/>
  <c r="E59" i="44"/>
  <c r="D53" i="44"/>
  <c r="D55" i="44"/>
  <c r="D57" i="44"/>
  <c r="D59" i="44"/>
  <c r="C53" i="44"/>
  <c r="C55" i="44"/>
  <c r="C57" i="44"/>
  <c r="C59" i="44"/>
  <c r="D51" i="44"/>
  <c r="C51" i="44"/>
  <c r="D49" i="44"/>
  <c r="A51" i="44"/>
  <c r="A53" i="44"/>
  <c r="A55" i="44"/>
  <c r="A57" i="44"/>
  <c r="A59" i="44"/>
  <c r="C49" i="44"/>
  <c r="A49" i="44"/>
  <c r="S28" i="44"/>
  <c r="R57" i="44" l="1"/>
  <c r="R59" i="44"/>
  <c r="Q59" i="44"/>
  <c r="Q56" i="44"/>
  <c r="G58" i="44"/>
  <c r="Q54" i="44"/>
  <c r="L33" i="44"/>
  <c r="L35" i="44" s="1"/>
  <c r="L37" i="44" s="1"/>
  <c r="L39" i="44" s="1"/>
  <c r="L41" i="44" s="1"/>
  <c r="L31" i="44"/>
  <c r="G33" i="44"/>
  <c r="G35" i="44" s="1"/>
  <c r="G37" i="44" s="1"/>
  <c r="G39" i="44" s="1"/>
  <c r="G41" i="44" s="1"/>
  <c r="G31" i="44"/>
  <c r="G45" i="44"/>
  <c r="H45" i="44" s="1"/>
  <c r="A45" i="44"/>
  <c r="E49" i="44" s="1"/>
  <c r="E7" i="46"/>
  <c r="O7" i="46" s="1"/>
  <c r="E6" i="46"/>
  <c r="P6" i="46" s="1"/>
  <c r="R55" i="44" l="1"/>
  <c r="Q55" i="44"/>
  <c r="Q58" i="44"/>
  <c r="G49" i="44"/>
  <c r="H49" i="44"/>
  <c r="I45" i="44"/>
  <c r="M6" i="46"/>
  <c r="Q6" i="46"/>
  <c r="L7" i="46"/>
  <c r="P7" i="46"/>
  <c r="J6" i="46"/>
  <c r="N6" i="46"/>
  <c r="M7" i="46"/>
  <c r="K6" i="46"/>
  <c r="O6" i="46"/>
  <c r="J7" i="46"/>
  <c r="N7" i="46"/>
  <c r="Q7" i="46"/>
  <c r="L6" i="46"/>
  <c r="K7" i="46"/>
  <c r="AG59" i="38"/>
  <c r="AG62" i="38"/>
  <c r="AE62" i="38"/>
  <c r="AE59" i="38"/>
  <c r="AC62" i="38"/>
  <c r="AC59" i="38"/>
  <c r="AA62" i="38"/>
  <c r="AA59" i="38"/>
  <c r="Y62" i="38"/>
  <c r="Y59" i="38"/>
  <c r="W62" i="38"/>
  <c r="W59" i="38"/>
  <c r="U62" i="38"/>
  <c r="U59" i="38"/>
  <c r="S62" i="38"/>
  <c r="S59" i="38"/>
  <c r="Q62" i="38"/>
  <c r="Q59" i="38"/>
  <c r="O62" i="38"/>
  <c r="M62" i="38"/>
  <c r="K62" i="38"/>
  <c r="I62" i="38"/>
  <c r="G62" i="38"/>
  <c r="G58" i="38"/>
  <c r="E62" i="38"/>
  <c r="E59" i="38"/>
  <c r="C62" i="38"/>
  <c r="I49" i="44" l="1"/>
  <c r="J45" i="44"/>
  <c r="G59" i="38"/>
  <c r="K45" i="44" l="1"/>
  <c r="J49" i="44"/>
  <c r="O59" i="38"/>
  <c r="M59" i="38"/>
  <c r="K59" i="38"/>
  <c r="I59" i="38"/>
  <c r="L45" i="44" l="1"/>
  <c r="K49" i="44"/>
  <c r="C59" i="38"/>
  <c r="M45" i="44" l="1"/>
  <c r="L49" i="44"/>
  <c r="AG12" i="38"/>
  <c r="AE12" i="38"/>
  <c r="AC12" i="38"/>
  <c r="AA12" i="38"/>
  <c r="Y12" i="38"/>
  <c r="W12" i="38"/>
  <c r="U12" i="38"/>
  <c r="S12" i="38"/>
  <c r="Q12" i="38"/>
  <c r="O12" i="38"/>
  <c r="M12" i="38"/>
  <c r="K12" i="38"/>
  <c r="I12" i="38"/>
  <c r="G12" i="38"/>
  <c r="K48" i="38"/>
  <c r="AE58" i="38"/>
  <c r="AC58" i="38"/>
  <c r="AG48" i="38"/>
  <c r="AG58" i="38"/>
  <c r="B34" i="38"/>
  <c r="C48" i="38" s="1"/>
  <c r="N45" i="44" l="1"/>
  <c r="M49" i="44"/>
  <c r="C12" i="38"/>
  <c r="O45" i="44" l="1"/>
  <c r="N49" i="44"/>
  <c r="E12" i="38"/>
  <c r="E60" i="38" s="1"/>
  <c r="AF4" i="38"/>
  <c r="F4" i="38" s="1"/>
  <c r="AD34" i="38"/>
  <c r="AE48" i="38" s="1"/>
  <c r="AB34" i="38"/>
  <c r="AC48" i="38" s="1"/>
  <c r="Z34" i="38"/>
  <c r="X34" i="38"/>
  <c r="Y48" i="38" s="1"/>
  <c r="V34" i="38"/>
  <c r="W48" i="38" s="1"/>
  <c r="T34" i="38"/>
  <c r="U48" i="38" s="1"/>
  <c r="R34" i="38"/>
  <c r="S48" i="38" s="1"/>
  <c r="P34" i="38"/>
  <c r="N34" i="38"/>
  <c r="O48" i="38" s="1"/>
  <c r="L34" i="38"/>
  <c r="M48" i="38" s="1"/>
  <c r="H34" i="38"/>
  <c r="F34" i="38"/>
  <c r="G48" i="38" s="1"/>
  <c r="D34" i="38"/>
  <c r="E48" i="38" s="1"/>
  <c r="I21" i="38"/>
  <c r="A35" i="38"/>
  <c r="A66" i="38" s="1"/>
  <c r="A36" i="38"/>
  <c r="A50" i="38" s="1"/>
  <c r="A37" i="38"/>
  <c r="A68" i="38" s="1"/>
  <c r="A38" i="38"/>
  <c r="A52" i="38" s="1"/>
  <c r="A39" i="38"/>
  <c r="A70" i="38" s="1"/>
  <c r="A40" i="38"/>
  <c r="A71" i="38" s="1"/>
  <c r="A41" i="38"/>
  <c r="A72" i="38" s="1"/>
  <c r="A42" i="38"/>
  <c r="A56" i="38" s="1"/>
  <c r="A43" i="38"/>
  <c r="A74" i="38" s="1"/>
  <c r="A34" i="38"/>
  <c r="A65" i="38" s="1"/>
  <c r="C60" i="38"/>
  <c r="K60" i="38"/>
  <c r="Z7" i="38"/>
  <c r="M60" i="38"/>
  <c r="O60" i="38"/>
  <c r="Q60" i="38"/>
  <c r="S60" i="38"/>
  <c r="U60" i="38"/>
  <c r="W60" i="38"/>
  <c r="Y60" i="38"/>
  <c r="AA60" i="38"/>
  <c r="AC60" i="38"/>
  <c r="AE60" i="38"/>
  <c r="AG60" i="38"/>
  <c r="A58" i="38"/>
  <c r="A75" i="38" s="1"/>
  <c r="AG64" i="38"/>
  <c r="AG21" i="38"/>
  <c r="AF21" i="38"/>
  <c r="AE21" i="38"/>
  <c r="AD21" i="38"/>
  <c r="AC64" i="38"/>
  <c r="AC21" i="38"/>
  <c r="AB21" i="38"/>
  <c r="AA21" i="38"/>
  <c r="Z21" i="38"/>
  <c r="Q64" i="38"/>
  <c r="E64" i="38"/>
  <c r="C64" i="38"/>
  <c r="Y21" i="38"/>
  <c r="X21" i="38"/>
  <c r="W21" i="38"/>
  <c r="V21" i="38"/>
  <c r="S21" i="38"/>
  <c r="R21" i="38"/>
  <c r="Q21" i="38"/>
  <c r="P21" i="38"/>
  <c r="M21" i="38"/>
  <c r="L21" i="38"/>
  <c r="K21" i="38"/>
  <c r="J21" i="38"/>
  <c r="H21" i="38"/>
  <c r="G21" i="38"/>
  <c r="F21" i="38"/>
  <c r="E21" i="38"/>
  <c r="D21" i="38"/>
  <c r="C21" i="38"/>
  <c r="B21" i="38"/>
  <c r="I60" i="38"/>
  <c r="G60" i="38"/>
  <c r="P45" i="44" l="1"/>
  <c r="P49" i="44" s="1"/>
  <c r="Q49" i="44" s="1"/>
  <c r="O49" i="44"/>
  <c r="A69" i="38"/>
  <c r="A57" i="38"/>
  <c r="A48" i="38"/>
  <c r="A73" i="38"/>
  <c r="I48" i="38"/>
  <c r="A55" i="38"/>
  <c r="A51" i="38"/>
  <c r="G61" i="38"/>
  <c r="I61" i="38"/>
  <c r="I77" i="38" s="1"/>
  <c r="A54" i="38"/>
  <c r="A67" i="38"/>
  <c r="Y7" i="38"/>
  <c r="T7" i="38"/>
  <c r="N7" i="38"/>
  <c r="A53" i="38"/>
  <c r="A49" i="38"/>
  <c r="AA48" i="38"/>
  <c r="Q48" i="38"/>
  <c r="S4" i="38"/>
  <c r="AE4" i="38"/>
  <c r="E61" i="38"/>
  <c r="E77" i="38" s="1"/>
  <c r="C61" i="38"/>
  <c r="R49" i="44" l="1"/>
  <c r="D30" i="44" s="1"/>
  <c r="I65" i="38"/>
  <c r="I76" i="38"/>
  <c r="G76" i="38"/>
  <c r="G77" i="38"/>
  <c r="G75" i="38"/>
  <c r="E76" i="38"/>
  <c r="C76" i="38"/>
  <c r="C77" i="38"/>
  <c r="U61" i="38"/>
  <c r="U77" i="38" s="1"/>
  <c r="S61" i="38"/>
  <c r="S77" i="38" s="1"/>
  <c r="O61" i="38"/>
  <c r="O77" i="38" s="1"/>
  <c r="K61" i="38"/>
  <c r="K77" i="38" s="1"/>
  <c r="M61" i="38"/>
  <c r="M77" i="38" s="1"/>
  <c r="Q61" i="38"/>
  <c r="Q77" i="38" s="1"/>
  <c r="C65" i="38"/>
  <c r="AE61" i="38"/>
  <c r="AE77" i="38" s="1"/>
  <c r="AC61" i="38"/>
  <c r="AC77" i="38" s="1"/>
  <c r="AG61" i="38"/>
  <c r="AG77" i="38" s="1"/>
  <c r="AA61" i="38"/>
  <c r="AA77" i="38" s="1"/>
  <c r="Y61" i="38"/>
  <c r="Y77" i="38" s="1"/>
  <c r="W61" i="38"/>
  <c r="W77" i="38" s="1"/>
  <c r="G65" i="38"/>
  <c r="E65" i="38"/>
  <c r="AH77" i="38" l="1"/>
  <c r="AP20" i="38" s="1"/>
  <c r="AC76" i="38"/>
  <c r="Q65" i="38"/>
  <c r="AA76" i="38"/>
  <c r="AI61" i="38"/>
  <c r="M76" i="38"/>
  <c r="M65" i="38"/>
  <c r="S76" i="38"/>
  <c r="S65" i="38"/>
  <c r="AG76" i="38"/>
  <c r="AG65" i="38"/>
  <c r="AG75" i="38"/>
  <c r="K76" i="38"/>
  <c r="K65" i="38"/>
  <c r="U76" i="38"/>
  <c r="U65" i="38"/>
  <c r="W76" i="38"/>
  <c r="W65" i="38"/>
  <c r="AC75" i="38"/>
  <c r="AC65" i="38"/>
  <c r="O76" i="38"/>
  <c r="O65" i="38"/>
  <c r="AA65" i="38"/>
  <c r="Y76" i="38"/>
  <c r="AE76" i="38"/>
  <c r="AE75" i="38"/>
  <c r="AE65" i="38"/>
  <c r="Q76" i="38"/>
  <c r="Y65" i="38"/>
  <c r="AK77" i="38" l="1"/>
  <c r="AL45" i="38"/>
  <c r="AH76" i="38"/>
  <c r="AP21" i="38" s="1"/>
  <c r="AH65" i="38"/>
  <c r="AP10" i="38" s="1"/>
  <c r="AK76" i="38" l="1"/>
  <c r="AL44" i="38" s="1"/>
  <c r="T36" i="38" l="1"/>
  <c r="U50" i="38"/>
  <c r="U67" i="38" s="1"/>
  <c r="AF36" i="38"/>
  <c r="AG50" i="38" s="1"/>
  <c r="AG67" i="38" s="1"/>
  <c r="S50" i="38"/>
  <c r="S67" i="38" s="1"/>
  <c r="J36" i="38"/>
  <c r="K50" i="38" s="1"/>
  <c r="K67" i="38" s="1"/>
  <c r="Z36" i="38"/>
  <c r="AA50" i="38" s="1"/>
  <c r="AA67" i="38" s="1"/>
  <c r="R36" i="38"/>
  <c r="V36" i="38"/>
  <c r="W50" i="38" s="1"/>
  <c r="W67" i="38" s="1"/>
  <c r="D36" i="38"/>
  <c r="E50" i="38" s="1"/>
  <c r="E67" i="38" s="1"/>
  <c r="P36" i="38"/>
  <c r="Q50" i="38" s="1"/>
  <c r="Q67" i="38" s="1"/>
  <c r="L36" i="38"/>
  <c r="M50" i="38" s="1"/>
  <c r="M67" i="38" s="1"/>
  <c r="N36" i="38"/>
  <c r="O50" i="38" s="1"/>
  <c r="O67" i="38" s="1"/>
  <c r="AD36" i="38"/>
  <c r="AE50" i="38"/>
  <c r="AE67" i="38" s="1"/>
  <c r="H36" i="38"/>
  <c r="I50" i="38" s="1"/>
  <c r="I67" i="38" s="1"/>
  <c r="B36" i="38"/>
  <c r="C50" i="38" s="1"/>
  <c r="C67" i="38" s="1"/>
  <c r="X36" i="38"/>
  <c r="Y50" i="38" s="1"/>
  <c r="Y67" i="38" s="1"/>
  <c r="AB36" i="38"/>
  <c r="AC50" i="38" s="1"/>
  <c r="AC67" i="38" s="1"/>
  <c r="F36" i="38"/>
  <c r="G50" i="38" s="1"/>
  <c r="G67" i="38" s="1"/>
  <c r="F38" i="38"/>
  <c r="G52" i="38" s="1"/>
  <c r="G69" i="38" s="1"/>
  <c r="N38" i="38"/>
  <c r="O52" i="38" s="1"/>
  <c r="O69" i="38" s="1"/>
  <c r="AB38" i="38"/>
  <c r="AC52" i="38" s="1"/>
  <c r="AC69" i="38" s="1"/>
  <c r="T38" i="38"/>
  <c r="U52" i="38" s="1"/>
  <c r="U69" i="38" s="1"/>
  <c r="AD38" i="38"/>
  <c r="AE52" i="38" s="1"/>
  <c r="AE69" i="38" s="1"/>
  <c r="L38" i="38"/>
  <c r="M52" i="38" s="1"/>
  <c r="M69" i="38" s="1"/>
  <c r="D38" i="38"/>
  <c r="E52" i="38"/>
  <c r="E69" i="38" s="1"/>
  <c r="AF38" i="38"/>
  <c r="AG52" i="38" s="1"/>
  <c r="AG69" i="38" s="1"/>
  <c r="X38" i="38"/>
  <c r="Y52" i="38" s="1"/>
  <c r="Y69" i="38" s="1"/>
  <c r="B38" i="38"/>
  <c r="C52" i="38" s="1"/>
  <c r="C69" i="38" s="1"/>
  <c r="AH69" i="38" s="1"/>
  <c r="AP14" i="38" s="1"/>
  <c r="J38" i="38"/>
  <c r="K52" i="38" s="1"/>
  <c r="K69" i="38" s="1"/>
  <c r="V38" i="38"/>
  <c r="W52" i="38" s="1"/>
  <c r="W69" i="38" s="1"/>
  <c r="P38" i="38"/>
  <c r="Q52" i="38" s="1"/>
  <c r="Q69" i="38" s="1"/>
  <c r="R38" i="38"/>
  <c r="S52" i="38"/>
  <c r="S69" i="38" s="1"/>
  <c r="Z38" i="38"/>
  <c r="AA52" i="38"/>
  <c r="AA69" i="38" s="1"/>
  <c r="H38" i="38"/>
  <c r="I52" i="38"/>
  <c r="I69" i="38" s="1"/>
  <c r="X40" i="38"/>
  <c r="Y54" i="38"/>
  <c r="Y71" i="38" s="1"/>
  <c r="L40" i="38"/>
  <c r="M54" i="38" s="1"/>
  <c r="M71" i="38" s="1"/>
  <c r="D40" i="38"/>
  <c r="E54" i="38" s="1"/>
  <c r="E71" i="38" s="1"/>
  <c r="R40" i="38"/>
  <c r="S54" i="38" s="1"/>
  <c r="S71" i="38" s="1"/>
  <c r="P40" i="38"/>
  <c r="Q54" i="38" s="1"/>
  <c r="Q71" i="38" s="1"/>
  <c r="Z40" i="38"/>
  <c r="AA54" i="38"/>
  <c r="AA71" i="38" s="1"/>
  <c r="H40" i="38"/>
  <c r="I54" i="38" s="1"/>
  <c r="I71" i="38" s="1"/>
  <c r="F40" i="38"/>
  <c r="G54" i="38" s="1"/>
  <c r="G71" i="38" s="1"/>
  <c r="N40" i="38"/>
  <c r="O54" i="38"/>
  <c r="O71" i="38" s="1"/>
  <c r="AB40" i="38"/>
  <c r="AC54" i="38" s="1"/>
  <c r="AC71" i="38"/>
  <c r="AF40" i="38"/>
  <c r="AG54" i="38" s="1"/>
  <c r="AG71" i="38" s="1"/>
  <c r="AD40" i="38"/>
  <c r="AE54" i="38" s="1"/>
  <c r="AE71" i="38" s="1"/>
  <c r="T40" i="38"/>
  <c r="U54" i="38" s="1"/>
  <c r="U71" i="38" s="1"/>
  <c r="V40" i="38"/>
  <c r="W54" i="38" s="1"/>
  <c r="W71" i="38" s="1"/>
  <c r="J40" i="38"/>
  <c r="K54" i="38" s="1"/>
  <c r="K71" i="38" s="1"/>
  <c r="B40" i="38"/>
  <c r="C54" i="38" s="1"/>
  <c r="C71" i="38" s="1"/>
  <c r="AH71" i="38" s="1"/>
  <c r="AP16" i="38" s="1"/>
  <c r="P42" i="38"/>
  <c r="Q56" i="38" s="1"/>
  <c r="Q73" i="38" s="1"/>
  <c r="J42" i="38"/>
  <c r="K56" i="38" s="1"/>
  <c r="K73" i="38" s="1"/>
  <c r="F42" i="38"/>
  <c r="G56" i="38" s="1"/>
  <c r="G73" i="38" s="1"/>
  <c r="T42" i="38"/>
  <c r="U56" i="38" s="1"/>
  <c r="U73" i="38" s="1"/>
  <c r="R42" i="38"/>
  <c r="S56" i="38" s="1"/>
  <c r="S73" i="38" s="1"/>
  <c r="Z42" i="38"/>
  <c r="AA56" i="38"/>
  <c r="AA73" i="38" s="1"/>
  <c r="X42" i="38"/>
  <c r="Y56" i="38" s="1"/>
  <c r="Y73" i="38" s="1"/>
  <c r="N42" i="38"/>
  <c r="O56" i="38" s="1"/>
  <c r="O73" i="38" s="1"/>
  <c r="D42" i="38"/>
  <c r="E56" i="38" s="1"/>
  <c r="E73" i="38" s="1"/>
  <c r="L42" i="38"/>
  <c r="M56" i="38" s="1"/>
  <c r="M73" i="38" s="1"/>
  <c r="AB42" i="38"/>
  <c r="AC56" i="38" s="1"/>
  <c r="AC73" i="38" s="1"/>
  <c r="AD42" i="38"/>
  <c r="AE56" i="38" s="1"/>
  <c r="AE73" i="38" s="1"/>
  <c r="V42" i="38"/>
  <c r="W56" i="38"/>
  <c r="W73" i="38" s="1"/>
  <c r="H42" i="38"/>
  <c r="I56" i="38" s="1"/>
  <c r="I73" i="38" s="1"/>
  <c r="B42" i="38"/>
  <c r="C56" i="38" s="1"/>
  <c r="C73" i="38" s="1"/>
  <c r="AH73" i="38" s="1"/>
  <c r="AP18" i="38" s="1"/>
  <c r="AF42" i="38"/>
  <c r="AG56" i="38" s="1"/>
  <c r="AG73" i="38" s="1"/>
  <c r="R44" i="38"/>
  <c r="S58" i="38"/>
  <c r="S75" i="38" s="1"/>
  <c r="F35" i="38"/>
  <c r="G49" i="38"/>
  <c r="G66" i="38" s="1"/>
  <c r="F37" i="38"/>
  <c r="G51" i="38" s="1"/>
  <c r="G68" i="38" s="1"/>
  <c r="F43" i="38"/>
  <c r="G57" i="38" s="1"/>
  <c r="G74" i="38" s="1"/>
  <c r="F39" i="38"/>
  <c r="G53" i="38" s="1"/>
  <c r="G70" i="38" s="1"/>
  <c r="F41" i="38"/>
  <c r="G55" i="38" s="1"/>
  <c r="G72" i="38" s="1"/>
  <c r="P35" i="38"/>
  <c r="AH67" i="38" l="1"/>
  <c r="AP12" i="38" s="1"/>
  <c r="Q49" i="38"/>
  <c r="Q66" i="38" s="1"/>
  <c r="P43" i="38"/>
  <c r="Q57" i="38" s="1"/>
  <c r="Q74" i="38" s="1"/>
  <c r="P41" i="38"/>
  <c r="Q55" i="38" s="1"/>
  <c r="Q72" i="38" s="1"/>
  <c r="P39" i="38"/>
  <c r="Q53" i="38" s="1"/>
  <c r="Q70" i="38" s="1"/>
  <c r="P37" i="38"/>
  <c r="Q51" i="38" s="1"/>
  <c r="Q68" i="38" s="1"/>
  <c r="P45" i="38" l="1"/>
  <c r="Q58" i="38" s="1"/>
  <c r="Q75" i="38" s="1"/>
  <c r="AD37" i="38" l="1"/>
  <c r="AE51" i="38" s="1"/>
  <c r="AE68" i="38" s="1"/>
  <c r="AD43" i="38"/>
  <c r="AE57" i="38"/>
  <c r="AE74" i="38" s="1"/>
  <c r="AD41" i="38"/>
  <c r="AE55" i="38" s="1"/>
  <c r="AE72" i="38" s="1"/>
  <c r="AD35" i="38"/>
  <c r="AE49" i="38" s="1"/>
  <c r="AE66" i="38" s="1"/>
  <c r="AD39" i="38"/>
  <c r="AE53" i="38" s="1"/>
  <c r="AE70" i="38" s="1"/>
  <c r="D33" i="44"/>
  <c r="D35" i="44"/>
  <c r="D37" i="44"/>
  <c r="D41" i="44"/>
  <c r="D31" i="44"/>
  <c r="D39" i="44"/>
  <c r="AC74" i="38"/>
  <c r="E72" i="38"/>
  <c r="O41" i="44"/>
  <c r="AA72" i="38"/>
  <c r="P41" i="44"/>
  <c r="H41" i="44"/>
  <c r="K74" i="38"/>
  <c r="K41" i="44"/>
  <c r="AP19" i="38"/>
  <c r="Y75" i="38"/>
  <c r="M41" i="44"/>
  <c r="O66" i="38"/>
  <c r="O72" i="38"/>
  <c r="M74" i="38"/>
  <c r="Y72" i="38"/>
  <c r="R41" i="44"/>
  <c r="AC57" i="38"/>
  <c r="Q41" i="44"/>
  <c r="K75" i="38"/>
  <c r="O68" i="38"/>
  <c r="J41" i="44"/>
  <c r="AG72" i="38"/>
  <c r="W74" i="38"/>
  <c r="M66" i="38"/>
  <c r="O55" i="38"/>
  <c r="O70" i="38"/>
  <c r="K58" i="38"/>
  <c r="Y66" i="38"/>
  <c r="AC68" i="38"/>
  <c r="AA66" i="38"/>
  <c r="AA68" i="38"/>
  <c r="I41" i="44"/>
  <c r="AA49" i="38"/>
  <c r="AC72" i="38"/>
  <c r="I66" i="38"/>
  <c r="AP15" i="38"/>
  <c r="O57" i="38"/>
  <c r="O74" i="38"/>
  <c r="AA57" i="38"/>
  <c r="AA74" i="38"/>
  <c r="W55" i="38"/>
  <c r="W72" i="38"/>
  <c r="R35" i="38"/>
  <c r="S49" i="38"/>
  <c r="S66" i="38"/>
  <c r="AC53" i="38"/>
  <c r="AC70" i="38"/>
  <c r="S74" i="38"/>
  <c r="E55" i="38"/>
  <c r="Y49" i="38"/>
  <c r="K70" i="38"/>
  <c r="I58" i="38"/>
  <c r="I75" i="38"/>
  <c r="Z35" i="38"/>
  <c r="Z45" i="38"/>
  <c r="AA58" i="38"/>
  <c r="AA75" i="38"/>
  <c r="I49" i="38"/>
  <c r="H35" i="38"/>
  <c r="H45" i="38"/>
  <c r="C68" i="38"/>
  <c r="AH68" i="38"/>
  <c r="AP13" i="38"/>
  <c r="Q39" i="44"/>
  <c r="Z43" i="38"/>
  <c r="N41" i="44"/>
  <c r="E41" i="44"/>
  <c r="K53" i="38"/>
  <c r="C75" i="38"/>
  <c r="AH75" i="38"/>
  <c r="O58" i="38"/>
  <c r="O75" i="38"/>
  <c r="AG51" i="38"/>
  <c r="AG68" i="38"/>
  <c r="M70" i="38"/>
  <c r="K72" i="38"/>
  <c r="K57" i="38"/>
  <c r="I72" i="38"/>
  <c r="E75" i="38"/>
  <c r="AI58" i="38"/>
  <c r="F41" i="44"/>
  <c r="U68" i="38"/>
  <c r="U72" i="38"/>
  <c r="T45" i="38"/>
  <c r="U58" i="38"/>
  <c r="U75" i="38"/>
  <c r="I74" i="38"/>
  <c r="J45" i="38"/>
  <c r="C74" i="38"/>
  <c r="AH74" i="38"/>
  <c r="M35" i="44"/>
  <c r="R39" i="38"/>
  <c r="S53" i="38"/>
  <c r="S70" i="38"/>
  <c r="N35" i="44"/>
  <c r="T39" i="38"/>
  <c r="U53" i="38"/>
  <c r="U70" i="38"/>
  <c r="E70" i="38"/>
  <c r="P33" i="44"/>
  <c r="X37" i="38"/>
  <c r="Y51" i="38"/>
  <c r="Y68" i="38"/>
  <c r="X35" i="38"/>
  <c r="X45" i="38"/>
  <c r="Y58" i="38"/>
  <c r="AB35" i="38"/>
  <c r="AC49" i="38"/>
  <c r="AC66" i="38"/>
  <c r="R37" i="44"/>
  <c r="AB41" i="38"/>
  <c r="AC55" i="38"/>
  <c r="K39" i="44"/>
  <c r="N43" i="38"/>
  <c r="J39" i="44"/>
  <c r="L43" i="38"/>
  <c r="M57" i="38"/>
  <c r="R35" i="44"/>
  <c r="AB39" i="38"/>
  <c r="F39" i="44"/>
  <c r="D43" i="38"/>
  <c r="E57" i="38"/>
  <c r="E74" i="38"/>
  <c r="T35" i="38"/>
  <c r="U49" i="38"/>
  <c r="U66" i="38"/>
  <c r="W53" i="38"/>
  <c r="W70" i="38"/>
  <c r="H39" i="44"/>
  <c r="H43" i="38"/>
  <c r="I57" i="38"/>
  <c r="F35" i="44"/>
  <c r="D39" i="38"/>
  <c r="E53" i="38"/>
  <c r="I35" i="44"/>
  <c r="J39" i="38"/>
  <c r="E49" i="38"/>
  <c r="E66" i="38"/>
  <c r="M58" i="38"/>
  <c r="M75" i="38"/>
  <c r="Q37" i="44"/>
  <c r="Z41" i="38"/>
  <c r="AA55" i="38"/>
  <c r="S55" i="38"/>
  <c r="S72" i="38"/>
  <c r="AP17" i="38"/>
  <c r="C35" i="44"/>
  <c r="S35" i="44"/>
  <c r="AF39" i="38"/>
  <c r="AG53" i="38"/>
  <c r="AG70" i="38"/>
  <c r="S51" i="38"/>
  <c r="S68" i="38"/>
  <c r="E68" i="38"/>
  <c r="Y74" i="38"/>
  <c r="P39" i="44"/>
  <c r="X43" i="38"/>
  <c r="Y57" i="38"/>
  <c r="C49" i="38"/>
  <c r="C66" i="38"/>
  <c r="AH66" i="38"/>
  <c r="AP11" i="38"/>
  <c r="M55" i="38"/>
  <c r="M72" i="38"/>
  <c r="AG66" i="38"/>
  <c r="P37" i="44"/>
  <c r="X41" i="38"/>
  <c r="Y55" i="38"/>
  <c r="J33" i="44"/>
  <c r="L37" i="38"/>
  <c r="M51" i="38"/>
  <c r="M68" i="38"/>
  <c r="S31" i="44"/>
  <c r="AF35" i="38"/>
  <c r="AG49" i="38"/>
  <c r="D35" i="38"/>
  <c r="D45" i="38"/>
  <c r="E58" i="38"/>
  <c r="K35" i="44"/>
  <c r="N39" i="38"/>
  <c r="O53" i="38"/>
  <c r="B35" i="38"/>
  <c r="B45" i="38"/>
  <c r="C58" i="38"/>
  <c r="Q33" i="44"/>
  <c r="Z37" i="38"/>
  <c r="AA51" i="38"/>
  <c r="O35" i="44"/>
  <c r="V39" i="38"/>
  <c r="M53" i="38"/>
  <c r="I39" i="44"/>
  <c r="J43" i="38"/>
  <c r="M33" i="44"/>
  <c r="R37" i="38"/>
  <c r="M37" i="44"/>
  <c r="R41" i="38"/>
  <c r="W51" i="38"/>
  <c r="W68" i="38"/>
  <c r="C72" i="38"/>
  <c r="AH72" i="38"/>
  <c r="V45" i="38"/>
  <c r="W58" i="38"/>
  <c r="W75" i="38"/>
  <c r="C33" i="44"/>
  <c r="S33" i="44"/>
  <c r="AF37" i="38"/>
  <c r="K55" i="38"/>
  <c r="L45" i="38"/>
  <c r="L35" i="38"/>
  <c r="M49" i="38"/>
  <c r="E33" i="44"/>
  <c r="B37" i="38"/>
  <c r="C51" i="38"/>
  <c r="K37" i="44"/>
  <c r="N41" i="38"/>
  <c r="C41" i="44"/>
  <c r="S41" i="44"/>
  <c r="F33" i="44"/>
  <c r="D37" i="38"/>
  <c r="E51" i="38"/>
  <c r="N37" i="44"/>
  <c r="T41" i="38"/>
  <c r="U55" i="38"/>
  <c r="C39" i="44"/>
  <c r="S39" i="44"/>
  <c r="AF43" i="38"/>
  <c r="AG57" i="38"/>
  <c r="AG74" i="38"/>
  <c r="O37" i="44"/>
  <c r="V41" i="38"/>
  <c r="V35" i="38"/>
  <c r="W49" i="38"/>
  <c r="W66" i="38"/>
  <c r="N39" i="44"/>
  <c r="T43" i="38"/>
  <c r="U57" i="38"/>
  <c r="U74" i="38"/>
  <c r="K68" i="38"/>
  <c r="K33" i="44"/>
  <c r="N37" i="38"/>
  <c r="O51" i="38"/>
  <c r="I33" i="44"/>
  <c r="J37" i="38"/>
  <c r="K51" i="38"/>
  <c r="M31" i="44"/>
  <c r="M39" i="44"/>
  <c r="R43" i="38"/>
  <c r="S57" i="38"/>
  <c r="R33" i="44"/>
  <c r="AB37" i="38"/>
  <c r="AC51" i="38"/>
  <c r="I37" i="44"/>
  <c r="J41" i="38"/>
  <c r="J37" i="44"/>
  <c r="L41" i="38"/>
  <c r="H33" i="44"/>
  <c r="H37" i="38"/>
  <c r="I51" i="38"/>
  <c r="I68" i="38"/>
  <c r="E39" i="44"/>
  <c r="B43" i="38"/>
  <c r="C57" i="38"/>
  <c r="E35" i="44"/>
  <c r="B39" i="38"/>
  <c r="C53" i="38"/>
  <c r="C70" i="38"/>
  <c r="AH70" i="38"/>
  <c r="Q31" i="44"/>
  <c r="Q35" i="44"/>
  <c r="Z39" i="38"/>
  <c r="AA53" i="38"/>
  <c r="AA70" i="38"/>
  <c r="I31" i="44"/>
  <c r="J35" i="38"/>
  <c r="K49" i="38"/>
  <c r="K66" i="38"/>
  <c r="O49" i="38"/>
  <c r="K31" i="44"/>
  <c r="N35" i="38"/>
  <c r="N45" i="38"/>
  <c r="C31" i="44"/>
  <c r="C37" i="44"/>
  <c r="S37" i="44"/>
  <c r="AF41" i="38"/>
  <c r="AG55" i="38"/>
  <c r="P31" i="44"/>
  <c r="P35" i="44"/>
  <c r="X39" i="38"/>
  <c r="Y53" i="38"/>
  <c r="Y70" i="38"/>
  <c r="H37" i="44"/>
  <c r="H41" i="38"/>
  <c r="I55" i="38"/>
  <c r="E31" i="44"/>
  <c r="E37" i="44"/>
  <c r="B41" i="38"/>
  <c r="C55" i="38"/>
  <c r="R31" i="44"/>
  <c r="R39" i="44"/>
  <c r="AB43" i="38"/>
  <c r="O39" i="44"/>
  <c r="V43" i="38"/>
  <c r="W57" i="38"/>
  <c r="N31" i="44"/>
  <c r="N33" i="44"/>
  <c r="T37" i="38"/>
  <c r="U51" i="38"/>
  <c r="J31" i="44"/>
  <c r="J35" i="44"/>
  <c r="L39" i="38"/>
  <c r="H31" i="44"/>
  <c r="H35" i="44"/>
  <c r="H39" i="38"/>
  <c r="I53" i="38"/>
  <c r="I70" i="38"/>
  <c r="F31" i="44"/>
  <c r="F37" i="44"/>
  <c r="D41" i="38"/>
  <c r="O31" i="44"/>
  <c r="O33" i="44"/>
  <c r="V37" i="38"/>
</calcChain>
</file>

<file path=xl/sharedStrings.xml><?xml version="1.0" encoding="utf-8"?>
<sst xmlns="http://schemas.openxmlformats.org/spreadsheetml/2006/main" count="347" uniqueCount="178">
  <si>
    <t>x</t>
  </si>
  <si>
    <t>v(x)</t>
  </si>
  <si>
    <t>Raw Scores</t>
  </si>
  <si>
    <t>Graph of Value Curve</t>
  </si>
  <si>
    <t>Values</t>
  </si>
  <si>
    <t>Weight</t>
  </si>
  <si>
    <t>Local Weight</t>
  </si>
  <si>
    <t xml:space="preserve"> </t>
  </si>
  <si>
    <t>Global/Swing Weight</t>
  </si>
  <si>
    <t>Local Weights</t>
  </si>
  <si>
    <t>Value functions</t>
  </si>
  <si>
    <t>Weighted Values</t>
  </si>
  <si>
    <t>TOTAL</t>
  </si>
  <si>
    <t>Measure</t>
  </si>
  <si>
    <t>USA</t>
  </si>
  <si>
    <t>Measures</t>
  </si>
  <si>
    <t>Goals</t>
  </si>
  <si>
    <t>MPG</t>
  </si>
  <si>
    <t>must be non-decreasing!</t>
  </si>
  <si>
    <t>WARNING: Lists of measure values</t>
  </si>
  <si>
    <t>Yes</t>
  </si>
  <si>
    <t>CO2</t>
  </si>
  <si>
    <t>4WD</t>
  </si>
  <si>
    <t>Importance 
(0-100)</t>
  </si>
  <si>
    <t>Preference 
Weight #1</t>
  </si>
  <si>
    <t>How much does this measure DEFINE its parent goal? 
(0-100 scale)</t>
  </si>
  <si>
    <t>#1
Fuel Economy 
(MPG city)</t>
  </si>
  <si>
    <t>#2
CO2 Emissions
(kg/yr)</t>
  </si>
  <si>
    <t>co2</t>
  </si>
  <si>
    <t>gas</t>
  </si>
  <si>
    <t>cruise</t>
  </si>
  <si>
    <t>cargo</t>
  </si>
  <si>
    <t>shoulder</t>
  </si>
  <si>
    <t>leg</t>
  </si>
  <si>
    <t>pax</t>
  </si>
  <si>
    <t>drive</t>
  </si>
  <si>
    <t>hp</t>
  </si>
  <si>
    <t>rollover</t>
  </si>
  <si>
    <t>airbags</t>
  </si>
  <si>
    <t>4 door</t>
  </si>
  <si>
    <t>Trim</t>
  </si>
  <si>
    <t>Price</t>
  </si>
  <si>
    <t>BMW 535d</t>
  </si>
  <si>
    <t>CadillacCTS</t>
  </si>
  <si>
    <t>BuickRegal</t>
  </si>
  <si>
    <t>diesel</t>
  </si>
  <si>
    <t>LincolnMKS</t>
  </si>
  <si>
    <t>USNews</t>
  </si>
  <si>
    <t>Alternative</t>
  </si>
  <si>
    <t>4 Door</t>
  </si>
  <si>
    <t>Leather</t>
  </si>
  <si>
    <t>#3
Gas or Diesel</t>
  </si>
  <si>
    <t>#4
Cruise Range (mi)</t>
  </si>
  <si>
    <t>#5
Cargo Volume
(ft3)</t>
  </si>
  <si>
    <t>#6
F. Shoulder Room (in)</t>
  </si>
  <si>
    <t>#7
F. Leg Room (in)</t>
  </si>
  <si>
    <t>#8
PAX Capacity (#)</t>
  </si>
  <si>
    <t>#9 Drivetrain (type)</t>
  </si>
  <si>
    <t>#10 HP (&gt;200)</t>
  </si>
  <si>
    <t>#11 USNews Safety Rating (5*)</t>
  </si>
  <si>
    <t>#12 Rollover Rating (5*)</t>
  </si>
  <si>
    <t>#13 Airbags (#)</t>
  </si>
  <si>
    <t>#14 USA Manufacturer</t>
  </si>
  <si>
    <t>#15 4 Door</t>
  </si>
  <si>
    <t>#16 Trim</t>
  </si>
  <si>
    <t>LUXURY</t>
  </si>
  <si>
    <t>ENVIRONMENTALLY FRIENDLY</t>
  </si>
  <si>
    <t>UTILITY</t>
  </si>
  <si>
    <t>CAPACITY</t>
  </si>
  <si>
    <t>DRIVE IN COLORADO</t>
  </si>
  <si>
    <t>SAFETY RATINGS AND FACTORS</t>
  </si>
  <si>
    <t>Gas or Diesel</t>
  </si>
  <si>
    <t>Cruise Range</t>
  </si>
  <si>
    <t>Cargo Volume</t>
  </si>
  <si>
    <t>F. Shoulder</t>
  </si>
  <si>
    <t>F. Legroom</t>
  </si>
  <si>
    <t>PAX Cap</t>
  </si>
  <si>
    <t>Drivtrain</t>
  </si>
  <si>
    <t>HorsePower</t>
  </si>
  <si>
    <t>Rollover 5*</t>
  </si>
  <si>
    <t>Airbags #</t>
  </si>
  <si>
    <t>RWD</t>
  </si>
  <si>
    <t>FWD</t>
  </si>
  <si>
    <t>AWD</t>
  </si>
  <si>
    <t>Safety  10*</t>
  </si>
  <si>
    <t>Fuel</t>
  </si>
  <si>
    <t>Range</t>
  </si>
  <si>
    <t>Cargo</t>
  </si>
  <si>
    <t>F.Shldr</t>
  </si>
  <si>
    <t>F.Leg</t>
  </si>
  <si>
    <t>DrTrain</t>
  </si>
  <si>
    <t>HP</t>
  </si>
  <si>
    <t>Roll</t>
  </si>
  <si>
    <t>Abags</t>
  </si>
  <si>
    <t>Doors</t>
  </si>
  <si>
    <t>TeslaModelS</t>
  </si>
  <si>
    <t>electric</t>
  </si>
  <si>
    <t>hybrid</t>
  </si>
  <si>
    <t>Chevy Impala V6</t>
  </si>
  <si>
    <t>Ford Fusion Hybrid</t>
  </si>
  <si>
    <t>Honda Accord Hy</t>
  </si>
  <si>
    <t>Ford Taurus</t>
  </si>
  <si>
    <t>Best</t>
  </si>
  <si>
    <t>MADM Top-Down Weights</t>
  </si>
  <si>
    <t>Note: x must be increasing or alphabetical</t>
  </si>
  <si>
    <t>Preference 
Weight #2</t>
  </si>
  <si>
    <t>Preference 
Weight #3</t>
  </si>
  <si>
    <t>Descriptive 
Weight #3</t>
  </si>
  <si>
    <t>Descriptive
Weight #1</t>
  </si>
  <si>
    <t>Descriptive
Weight #2</t>
  </si>
  <si>
    <t>08 Ford Explorer Lim v6 Baseline</t>
  </si>
  <si>
    <t>no</t>
  </si>
  <si>
    <t>partial</t>
  </si>
  <si>
    <t>yes</t>
  </si>
  <si>
    <t>leather</t>
  </si>
  <si>
    <t>Sum</t>
  </si>
  <si>
    <t>Cost</t>
  </si>
  <si>
    <t>Score</t>
  </si>
  <si>
    <t>Jeep Cherokee</t>
  </si>
  <si>
    <t>TCH 2013</t>
  </si>
  <si>
    <t>Camry Hybrid</t>
  </si>
  <si>
    <t>Toyota Camry Hybrid</t>
  </si>
  <si>
    <t>Year</t>
  </si>
  <si>
    <t>KBB Avg. Price</t>
  </si>
  <si>
    <t>Misc.</t>
  </si>
  <si>
    <t>US Manu?</t>
  </si>
  <si>
    <t>&gt;=4 door</t>
  </si>
  <si>
    <t>Luxury</t>
  </si>
  <si>
    <t>Rollover</t>
  </si>
  <si>
    <t>Airbags</t>
  </si>
  <si>
    <t>Safety Ratings</t>
  </si>
  <si>
    <t>Drive Train</t>
  </si>
  <si>
    <t>Drive Features</t>
  </si>
  <si>
    <t>Pass. Cap.</t>
  </si>
  <si>
    <t>Capacity</t>
  </si>
  <si>
    <t>Safe &amp; Utility</t>
  </si>
  <si>
    <t>Hwy MPG</t>
  </si>
  <si>
    <t>City MPG</t>
  </si>
  <si>
    <t>Environmentally Friendly</t>
  </si>
  <si>
    <t>Weights</t>
  </si>
  <si>
    <t>Max</t>
  </si>
  <si>
    <t>Average miles per year</t>
  </si>
  <si>
    <t>Average cost of gas/gallon</t>
  </si>
  <si>
    <t>12000-15000</t>
  </si>
  <si>
    <t># of gallons/year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</si>
  <si>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</si>
  <si>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</si>
  <si>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</si>
  <si>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</si>
  <si>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</si>
  <si>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</si>
  <si>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</si>
  <si>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</si>
  <si>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25990 +26.5*3.56*# of gallons</t>
  </si>
  <si>
    <t>31672 + 47*3.56*# of gallons</t>
  </si>
  <si>
    <t>Base Price</t>
  </si>
  <si>
    <t>Miles Driven per year</t>
  </si>
  <si>
    <t>Gas Price</t>
  </si>
  <si>
    <t>Car</t>
  </si>
  <si>
    <t>Gallons/year</t>
  </si>
  <si>
    <t>Based on 5.5% inflation</t>
  </si>
  <si>
    <t>Gasoline Price</t>
  </si>
  <si>
    <t>After 10 years</t>
  </si>
  <si>
    <t>Total Price</t>
  </si>
  <si>
    <t>Min</t>
  </si>
  <si>
    <t>Raw Score</t>
  </si>
  <si>
    <t>Weighted Score</t>
  </si>
  <si>
    <t>C</t>
  </si>
  <si>
    <t>D</t>
  </si>
  <si>
    <t>E</t>
  </si>
  <si>
    <t>F</t>
  </si>
  <si>
    <t>Avg MPG</t>
  </si>
  <si>
    <t>2014 Toyota Camry</t>
  </si>
  <si>
    <t>No</t>
  </si>
  <si>
    <t>USNews Score</t>
  </si>
  <si>
    <t>Cargo (cubic ft)</t>
  </si>
  <si>
    <t>2016 Toyota Rav4 Hybrid XLE</t>
  </si>
  <si>
    <t>R. Leg (inches)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</si>
</sst>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44" formatCode="_(&quot;$&quot;* #,##0.00_);_(&quot;$&quot;* \(#,##0.00\);_(&quot;$&quot;* &quot;-&quot;??_);_(@_)"/>
    <numFmt numFmtId="164" formatCode="0.0"/>
    <numFmt numFmtId="165" formatCode="0.0000"/>
    <numFmt numFmtId="166" formatCode="0.000"/>
    <numFmt numFmtId="167" formatCode="_(&quot;$&quot;* #,##0_);_(&quot;$&quot;* \(#,##0\);_(&quot;$&quot;* &quot;-&quot;??_);_(@_)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3"/>
      <name val="Arial"/>
      <family val="2"/>
    </font>
    <font>
      <b/>
      <sz val="11"/>
      <color theme="3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0"/>
      <name val="Arial"/>
      <family val="2"/>
    </font>
    <font>
      <b/>
      <sz val="14"/>
      <color theme="3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59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44" fontId="20" fillId="0" borderId="0" applyFont="0" applyFill="0" applyBorder="0" applyAlignment="0" applyProtection="0"/>
    <xf numFmtId="0" fontId="10" fillId="0" borderId="0"/>
  </cellStyleXfs>
  <cellXfs count="215">
    <xf numFmtId="0" fontId="0" fillId="0" borderId="0" xfId="0"/>
    <xf numFmtId="0" fontId="16" fillId="3" borderId="0" xfId="0" applyFont="1" applyFill="1" applyAlignment="1">
      <alignment horizontal="center"/>
    </xf>
    <xf numFmtId="0" fontId="0" fillId="0" borderId="0" xfId="0" applyFill="1"/>
    <xf numFmtId="0" fontId="11" fillId="0" borderId="0" xfId="0" applyFont="1" applyFill="1" applyAlignment="1">
      <alignment horizontal="center"/>
    </xf>
    <xf numFmtId="0" fontId="16" fillId="0" borderId="0" xfId="0" applyFont="1" applyFill="1"/>
    <xf numFmtId="0" fontId="19" fillId="0" borderId="0" xfId="0" applyFont="1" applyFill="1"/>
    <xf numFmtId="0" fontId="0" fillId="0" borderId="0" xfId="0" applyFill="1" applyAlignment="1">
      <alignment horizontal="center"/>
    </xf>
    <xf numFmtId="0" fontId="11" fillId="0" borderId="0" xfId="0" applyFont="1" applyFill="1"/>
    <xf numFmtId="0" fontId="0" fillId="0" borderId="0" xfId="0" applyFill="1" applyBorder="1"/>
    <xf numFmtId="0" fontId="13" fillId="0" borderId="0" xfId="0" applyFont="1" applyFill="1" applyAlignment="1">
      <alignment horizontal="right"/>
    </xf>
    <xf numFmtId="0" fontId="12" fillId="0" borderId="0" xfId="0" applyFont="1" applyFill="1" applyAlignment="1">
      <alignment horizontal="right"/>
    </xf>
    <xf numFmtId="0" fontId="16" fillId="0" borderId="0" xfId="0" applyFont="1" applyFill="1" applyAlignment="1">
      <alignment horizontal="right"/>
    </xf>
    <xf numFmtId="0" fontId="0" fillId="6" borderId="0" xfId="0" applyFill="1" applyAlignment="1">
      <alignment horizontal="center"/>
    </xf>
    <xf numFmtId="0" fontId="16" fillId="0" borderId="0" xfId="0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2" fontId="16" fillId="4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right"/>
    </xf>
    <xf numFmtId="0" fontId="11" fillId="0" borderId="0" xfId="0" applyFont="1" applyFill="1" applyAlignment="1">
      <alignment horizontal="right"/>
    </xf>
    <xf numFmtId="0" fontId="18" fillId="2" borderId="2" xfId="0" applyFont="1" applyFill="1" applyBorder="1" applyAlignment="1">
      <alignment horizontal="center"/>
    </xf>
    <xf numFmtId="0" fontId="21" fillId="0" borderId="0" xfId="0" applyFont="1" applyAlignment="1">
      <alignment vertical="center"/>
    </xf>
    <xf numFmtId="0" fontId="21" fillId="0" borderId="0" xfId="0" quotePrefix="1" applyFont="1" applyAlignment="1">
      <alignment vertical="center"/>
    </xf>
    <xf numFmtId="164" fontId="0" fillId="0" borderId="0" xfId="0" applyNumberForma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2" borderId="0" xfId="0" quotePrefix="1" applyFont="1" applyFill="1" applyAlignment="1">
      <alignment horizontal="right"/>
    </xf>
    <xf numFmtId="0" fontId="23" fillId="0" borderId="0" xfId="0" applyFon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6" fillId="0" borderId="0" xfId="0" applyFont="1" applyFill="1" applyBorder="1"/>
    <xf numFmtId="0" fontId="16" fillId="5" borderId="0" xfId="0" applyFont="1" applyFill="1" applyAlignment="1">
      <alignment horizontal="center"/>
    </xf>
    <xf numFmtId="0" fontId="16" fillId="2" borderId="0" xfId="0" applyFont="1" applyFill="1" applyAlignment="1">
      <alignment horizontal="center" wrapText="1"/>
    </xf>
    <xf numFmtId="0" fontId="16" fillId="0" borderId="0" xfId="0" applyFont="1" applyFill="1" applyBorder="1" applyAlignment="1">
      <alignment horizontal="center"/>
    </xf>
    <xf numFmtId="1" fontId="16" fillId="5" borderId="0" xfId="0" applyNumberFormat="1" applyFont="1" applyFill="1" applyAlignment="1">
      <alignment horizontal="center"/>
    </xf>
    <xf numFmtId="0" fontId="17" fillId="0" borderId="0" xfId="0" applyFont="1" applyFill="1" applyAlignment="1">
      <alignment horizontal="center"/>
    </xf>
    <xf numFmtId="0" fontId="24" fillId="0" borderId="0" xfId="0" applyFont="1" applyFill="1" applyAlignment="1">
      <alignment horizontal="right"/>
    </xf>
    <xf numFmtId="1" fontId="16" fillId="2" borderId="0" xfId="0" applyNumberFormat="1" applyFont="1" applyFill="1" applyAlignment="1">
      <alignment horizontal="center"/>
    </xf>
    <xf numFmtId="0" fontId="10" fillId="0" borderId="0" xfId="58"/>
    <xf numFmtId="164" fontId="22" fillId="8" borderId="0" xfId="0" quotePrefix="1" applyNumberFormat="1" applyFont="1" applyFill="1" applyAlignment="1">
      <alignment horizontal="center" vertical="center"/>
    </xf>
    <xf numFmtId="0" fontId="16" fillId="5" borderId="0" xfId="0" applyFont="1" applyFill="1" applyAlignment="1">
      <alignment horizontal="center" wrapText="1"/>
    </xf>
    <xf numFmtId="0" fontId="16" fillId="0" borderId="0" xfId="0" applyFont="1" applyFill="1" applyAlignment="1">
      <alignment horizontal="center" wrapText="1"/>
    </xf>
    <xf numFmtId="0" fontId="13" fillId="0" borderId="0" xfId="0" applyFont="1" applyFill="1" applyAlignment="1">
      <alignment horizontal="right" wrapText="1"/>
    </xf>
    <xf numFmtId="0" fontId="16" fillId="10" borderId="0" xfId="0" applyFont="1" applyFill="1" applyAlignment="1">
      <alignment horizontal="center"/>
    </xf>
    <xf numFmtId="0" fontId="9" fillId="0" borderId="0" xfId="58" applyFont="1" applyAlignment="1">
      <alignment horizontal="center"/>
    </xf>
    <xf numFmtId="0" fontId="10" fillId="0" borderId="0" xfId="58" applyAlignment="1">
      <alignment horizontal="center"/>
    </xf>
    <xf numFmtId="0" fontId="10" fillId="0" borderId="1" xfId="58" applyBorder="1" applyAlignment="1">
      <alignment horizontal="center"/>
    </xf>
    <xf numFmtId="0" fontId="26" fillId="0" borderId="0" xfId="58" applyFont="1" applyAlignment="1">
      <alignment horizontal="right"/>
    </xf>
    <xf numFmtId="0" fontId="26" fillId="2" borderId="14" xfId="58" applyFont="1" applyFill="1" applyBorder="1" applyAlignment="1">
      <alignment horizontal="center"/>
    </xf>
    <xf numFmtId="0" fontId="26" fillId="2" borderId="15" xfId="58" applyFont="1" applyFill="1" applyBorder="1" applyAlignment="1">
      <alignment horizontal="center"/>
    </xf>
    <xf numFmtId="0" fontId="10" fillId="2" borderId="1" xfId="58" applyFill="1" applyBorder="1" applyAlignment="1">
      <alignment horizontal="center"/>
    </xf>
    <xf numFmtId="0" fontId="16" fillId="2" borderId="0" xfId="0" applyFont="1" applyFill="1" applyAlignment="1">
      <alignment horizontal="center" wrapText="1"/>
    </xf>
    <xf numFmtId="0" fontId="16" fillId="5" borderId="0" xfId="0" applyFont="1" applyFill="1" applyAlignment="1">
      <alignment horizontal="center" wrapText="1"/>
    </xf>
    <xf numFmtId="0" fontId="16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6" fillId="9" borderId="0" xfId="0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165" fontId="23" fillId="0" borderId="0" xfId="0" applyNumberFormat="1" applyFont="1" applyFill="1" applyAlignment="1">
      <alignment horizontal="center"/>
    </xf>
    <xf numFmtId="0" fontId="0" fillId="4" borderId="0" xfId="0" applyFill="1" applyAlignment="1">
      <alignment horizontal="center"/>
    </xf>
    <xf numFmtId="0" fontId="13" fillId="0" borderId="0" xfId="0" applyFont="1" applyFill="1" applyAlignment="1">
      <alignment horizontal="right" vertical="center"/>
    </xf>
    <xf numFmtId="0" fontId="0" fillId="0" borderId="0" xfId="0" applyFill="1" applyAlignment="1">
      <alignment vertical="center"/>
    </xf>
    <xf numFmtId="0" fontId="16" fillId="7" borderId="4" xfId="0" applyFont="1" applyFill="1" applyBorder="1" applyAlignment="1">
      <alignment horizontal="center" vertical="center" wrapText="1"/>
    </xf>
    <xf numFmtId="0" fontId="16" fillId="7" borderId="4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/>
    </xf>
    <xf numFmtId="0" fontId="11" fillId="7" borderId="17" xfId="0" applyFont="1" applyFill="1" applyBorder="1" applyAlignment="1">
      <alignment horizontal="center"/>
    </xf>
    <xf numFmtId="0" fontId="11" fillId="9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7" borderId="19" xfId="0" applyFont="1" applyFill="1" applyBorder="1" applyAlignment="1">
      <alignment horizontal="center" vertical="center" wrapText="1"/>
    </xf>
    <xf numFmtId="0" fontId="16" fillId="7" borderId="6" xfId="0" applyFont="1" applyFill="1" applyBorder="1" applyAlignment="1">
      <alignment horizontal="center"/>
    </xf>
    <xf numFmtId="0" fontId="16" fillId="9" borderId="6" xfId="0" applyFont="1" applyFill="1" applyBorder="1" applyAlignment="1">
      <alignment horizontal="center"/>
    </xf>
    <xf numFmtId="0" fontId="11" fillId="5" borderId="16" xfId="0" applyFont="1" applyFill="1" applyBorder="1" applyAlignment="1">
      <alignment horizontal="center"/>
    </xf>
    <xf numFmtId="0" fontId="11" fillId="5" borderId="17" xfId="0" applyFont="1" applyFill="1" applyBorder="1" applyAlignment="1">
      <alignment horizontal="center"/>
    </xf>
    <xf numFmtId="0" fontId="16" fillId="5" borderId="19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1" fillId="7" borderId="16" xfId="0" applyFont="1" applyFill="1" applyBorder="1" applyAlignment="1">
      <alignment horizontal="center" vertical="center" wrapText="1"/>
    </xf>
    <xf numFmtId="0" fontId="11" fillId="7" borderId="16" xfId="0" applyFont="1" applyFill="1" applyBorder="1" applyAlignment="1">
      <alignment horizontal="center"/>
    </xf>
    <xf numFmtId="0" fontId="18" fillId="7" borderId="19" xfId="0" applyFont="1" applyFill="1" applyBorder="1" applyAlignment="1">
      <alignment horizontal="center"/>
    </xf>
    <xf numFmtId="0" fontId="18" fillId="7" borderId="6" xfId="0" applyFont="1" applyFill="1" applyBorder="1" applyAlignment="1">
      <alignment horizontal="center"/>
    </xf>
    <xf numFmtId="0" fontId="16" fillId="2" borderId="4" xfId="0" applyFont="1" applyFill="1" applyBorder="1" applyAlignment="1">
      <alignment horizontal="center"/>
    </xf>
    <xf numFmtId="166" fontId="16" fillId="4" borderId="0" xfId="0" applyNumberFormat="1" applyFont="1" applyFill="1" applyAlignment="1">
      <alignment horizontal="center"/>
    </xf>
    <xf numFmtId="165" fontId="0" fillId="0" borderId="0" xfId="0" applyNumberFormat="1" applyFill="1"/>
    <xf numFmtId="165" fontId="16" fillId="4" borderId="0" xfId="0" applyNumberFormat="1" applyFont="1" applyFill="1" applyAlignment="1">
      <alignment horizontal="center"/>
    </xf>
    <xf numFmtId="0" fontId="16" fillId="4" borderId="0" xfId="0" applyFont="1" applyFill="1" applyAlignment="1">
      <alignment horizontal="center"/>
    </xf>
    <xf numFmtId="166" fontId="0" fillId="0" borderId="0" xfId="0" applyNumberFormat="1" applyFill="1" applyAlignment="1">
      <alignment horizontal="center"/>
    </xf>
    <xf numFmtId="0" fontId="25" fillId="0" borderId="0" xfId="0" applyFont="1" applyBorder="1" applyAlignment="1"/>
    <xf numFmtId="0" fontId="16" fillId="0" borderId="0" xfId="0" applyFont="1" applyBorder="1" applyAlignment="1">
      <alignment horizontal="center"/>
    </xf>
    <xf numFmtId="166" fontId="0" fillId="0" borderId="0" xfId="0" applyNumberFormat="1" applyFill="1"/>
    <xf numFmtId="0" fontId="16" fillId="0" borderId="0" xfId="0" applyFont="1" applyFill="1" applyAlignment="1">
      <alignment horizontal="center"/>
    </xf>
    <xf numFmtId="0" fontId="8" fillId="5" borderId="1" xfId="58" applyFont="1" applyFill="1" applyBorder="1" applyAlignment="1">
      <alignment horizontal="center"/>
    </xf>
    <xf numFmtId="0" fontId="8" fillId="0" borderId="1" xfId="58" applyFont="1" applyBorder="1" applyAlignment="1">
      <alignment horizontal="center"/>
    </xf>
    <xf numFmtId="0" fontId="8" fillId="4" borderId="1" xfId="58" applyFont="1" applyFill="1" applyBorder="1" applyAlignment="1">
      <alignment horizontal="center"/>
    </xf>
    <xf numFmtId="0" fontId="25" fillId="0" borderId="0" xfId="0" applyFont="1" applyFill="1" applyBorder="1" applyAlignment="1"/>
    <xf numFmtId="0" fontId="16" fillId="0" borderId="0" xfId="0" applyFont="1" applyFill="1" applyAlignment="1">
      <alignment horizontal="center"/>
    </xf>
    <xf numFmtId="0" fontId="13" fillId="2" borderId="0" xfId="0" applyFont="1" applyFill="1" applyAlignment="1">
      <alignment horizontal="right"/>
    </xf>
    <xf numFmtId="0" fontId="16" fillId="0" borderId="0" xfId="0" quotePrefix="1" applyFont="1" applyFill="1" applyBorder="1" applyAlignment="1">
      <alignment vertical="center" wrapText="1"/>
    </xf>
    <xf numFmtId="39" fontId="16" fillId="0" borderId="0" xfId="57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right"/>
    </xf>
    <xf numFmtId="0" fontId="16" fillId="0" borderId="0" xfId="0" applyFont="1" applyFill="1" applyBorder="1" applyAlignment="1"/>
    <xf numFmtId="2" fontId="16" fillId="0" borderId="0" xfId="0" applyNumberFormat="1" applyFont="1" applyFill="1" applyBorder="1" applyAlignment="1">
      <alignment horizontal="center"/>
    </xf>
    <xf numFmtId="0" fontId="19" fillId="0" borderId="0" xfId="0" applyFont="1" applyFill="1" applyBorder="1"/>
    <xf numFmtId="2" fontId="0" fillId="0" borderId="0" xfId="0" applyNumberFormat="1" applyFill="1" applyBorder="1" applyAlignment="1">
      <alignment horizontal="center"/>
    </xf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horizontal="center"/>
    </xf>
    <xf numFmtId="5" fontId="16" fillId="0" borderId="0" xfId="57" applyNumberFormat="1" applyFont="1" applyFill="1" applyBorder="1" applyAlignment="1">
      <alignment horizontal="center"/>
    </xf>
    <xf numFmtId="164" fontId="22" fillId="0" borderId="0" xfId="0" quotePrefix="1" applyNumberFormat="1" applyFont="1" applyFill="1" applyAlignment="1">
      <alignment horizontal="center" vertical="center"/>
    </xf>
    <xf numFmtId="0" fontId="6" fillId="0" borderId="1" xfId="58" applyFont="1" applyBorder="1" applyAlignment="1">
      <alignment horizontal="center"/>
    </xf>
    <xf numFmtId="0" fontId="16" fillId="0" borderId="0" xfId="0" applyFont="1" applyFill="1" applyAlignment="1">
      <alignment horizontal="center" vertical="center"/>
    </xf>
    <xf numFmtId="2" fontId="0" fillId="0" borderId="0" xfId="0" applyNumberFormat="1" applyFill="1"/>
    <xf numFmtId="0" fontId="16" fillId="0" borderId="0" xfId="0" applyFont="1" applyFill="1" applyAlignment="1">
      <alignment horizontal="center"/>
    </xf>
    <xf numFmtId="167" fontId="27" fillId="0" borderId="0" xfId="57" applyNumberFormat="1" applyFont="1" applyFill="1" applyBorder="1" applyAlignment="1">
      <alignment horizontal="center" vertical="center"/>
    </xf>
    <xf numFmtId="166" fontId="16" fillId="0" borderId="0" xfId="0" applyNumberFormat="1" applyFont="1" applyFill="1" applyAlignment="1">
      <alignment horizontal="center"/>
    </xf>
    <xf numFmtId="0" fontId="10" fillId="0" borderId="0" xfId="58" applyBorder="1" applyAlignment="1">
      <alignment horizontal="center"/>
    </xf>
    <xf numFmtId="0" fontId="8" fillId="5" borderId="0" xfId="58" applyFont="1" applyFill="1" applyBorder="1" applyAlignment="1">
      <alignment horizontal="center"/>
    </xf>
    <xf numFmtId="0" fontId="8" fillId="4" borderId="0" xfId="58" applyFont="1" applyFill="1" applyBorder="1" applyAlignment="1">
      <alignment horizontal="center"/>
    </xf>
    <xf numFmtId="0" fontId="10" fillId="2" borderId="0" xfId="58" applyFill="1" applyBorder="1" applyAlignment="1">
      <alignment horizontal="center"/>
    </xf>
    <xf numFmtId="0" fontId="5" fillId="0" borderId="0" xfId="58" applyFont="1" applyBorder="1" applyAlignment="1">
      <alignment horizontal="center"/>
    </xf>
    <xf numFmtId="164" fontId="22" fillId="8" borderId="0" xfId="0" applyNumberFormat="1" applyFont="1" applyFill="1" applyAlignment="1">
      <alignment horizontal="center" vertical="center"/>
    </xf>
    <xf numFmtId="0" fontId="16" fillId="0" borderId="0" xfId="0" applyFont="1" applyFill="1" applyBorder="1" applyAlignment="1">
      <alignment horizontal="center"/>
    </xf>
    <xf numFmtId="166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/>
    </xf>
    <xf numFmtId="1" fontId="16" fillId="5" borderId="0" xfId="0" quotePrefix="1" applyNumberFormat="1" applyFont="1" applyFill="1" applyAlignment="1">
      <alignment horizontal="center"/>
    </xf>
    <xf numFmtId="0" fontId="4" fillId="0" borderId="1" xfId="58" quotePrefix="1" applyFont="1" applyBorder="1" applyAlignment="1">
      <alignment horizontal="center"/>
    </xf>
    <xf numFmtId="166" fontId="0" fillId="0" borderId="0" xfId="0" applyNumberFormat="1" applyFill="1" applyBorder="1"/>
    <xf numFmtId="0" fontId="16" fillId="0" borderId="0" xfId="0" applyFont="1" applyFill="1" applyAlignment="1">
      <alignment vertical="center"/>
    </xf>
    <xf numFmtId="166" fontId="16" fillId="0" borderId="0" xfId="0" applyNumberFormat="1" applyFont="1" applyFill="1"/>
    <xf numFmtId="166" fontId="16" fillId="0" borderId="0" xfId="0" applyNumberFormat="1" applyFont="1" applyFill="1" applyBorder="1"/>
    <xf numFmtId="0" fontId="3" fillId="5" borderId="0" xfId="58" applyFont="1" applyFill="1" applyBorder="1" applyAlignment="1">
      <alignment horizontal="center"/>
    </xf>
    <xf numFmtId="0" fontId="3" fillId="0" borderId="0" xfId="58" applyFont="1" applyBorder="1" applyAlignment="1">
      <alignment horizontal="center"/>
    </xf>
    <xf numFmtId="0" fontId="3" fillId="4" borderId="0" xfId="58" applyFont="1" applyFill="1" applyBorder="1" applyAlignment="1">
      <alignment horizontal="center"/>
    </xf>
    <xf numFmtId="0" fontId="16" fillId="12" borderId="0" xfId="0" applyFont="1" applyFill="1" applyAlignment="1">
      <alignment horizontal="center" vertical="center"/>
    </xf>
    <xf numFmtId="166" fontId="16" fillId="13" borderId="0" xfId="0" applyNumberFormat="1" applyFont="1" applyFill="1"/>
    <xf numFmtId="2" fontId="16" fillId="13" borderId="0" xfId="0" applyNumberFormat="1" applyFont="1" applyFill="1" applyBorder="1" applyAlignment="1">
      <alignment horizontal="center"/>
    </xf>
    <xf numFmtId="0" fontId="16" fillId="13" borderId="0" xfId="0" applyFont="1" applyFill="1" applyBorder="1" applyAlignment="1">
      <alignment vertical="center" wrapText="1"/>
    </xf>
    <xf numFmtId="0" fontId="16" fillId="13" borderId="0" xfId="0" applyFont="1" applyFill="1"/>
    <xf numFmtId="166" fontId="16" fillId="13" borderId="0" xfId="0" applyNumberFormat="1" applyFont="1" applyFill="1" applyBorder="1"/>
    <xf numFmtId="0" fontId="9" fillId="5" borderId="11" xfId="58" applyFont="1" applyFill="1" applyBorder="1" applyAlignment="1">
      <alignment horizontal="center"/>
    </xf>
    <xf numFmtId="0" fontId="9" fillId="4" borderId="13" xfId="58" applyFont="1" applyFill="1" applyBorder="1" applyAlignment="1">
      <alignment horizontal="center"/>
    </xf>
    <xf numFmtId="0" fontId="2" fillId="0" borderId="0" xfId="58" applyFont="1" applyAlignment="1">
      <alignment horizontal="center"/>
    </xf>
    <xf numFmtId="0" fontId="10" fillId="0" borderId="0" xfId="58" applyAlignment="1">
      <alignment horizontal="center"/>
    </xf>
    <xf numFmtId="0" fontId="9" fillId="0" borderId="22" xfId="58" applyFont="1" applyBorder="1" applyAlignment="1">
      <alignment horizontal="center"/>
    </xf>
    <xf numFmtId="0" fontId="6" fillId="15" borderId="21" xfId="58" applyFont="1" applyFill="1" applyBorder="1" applyAlignment="1">
      <alignment horizontal="center"/>
    </xf>
    <xf numFmtId="0" fontId="26" fillId="2" borderId="12" xfId="58" applyFont="1" applyFill="1" applyBorder="1" applyAlignment="1">
      <alignment horizontal="center" vertical="center" wrapText="1"/>
    </xf>
    <xf numFmtId="0" fontId="26" fillId="2" borderId="23" xfId="58" applyFont="1" applyFill="1" applyBorder="1" applyAlignment="1">
      <alignment horizontal="center" vertical="center" wrapText="1"/>
    </xf>
    <xf numFmtId="0" fontId="26" fillId="2" borderId="13" xfId="58" applyFont="1" applyFill="1" applyBorder="1" applyAlignment="1">
      <alignment horizontal="center" vertical="center" wrapText="1"/>
    </xf>
    <xf numFmtId="0" fontId="26" fillId="0" borderId="16" xfId="58" applyFont="1" applyBorder="1"/>
    <xf numFmtId="0" fontId="26" fillId="2" borderId="24" xfId="58" applyFont="1" applyFill="1" applyBorder="1" applyAlignment="1">
      <alignment horizontal="center" vertical="center" wrapText="1"/>
    </xf>
    <xf numFmtId="0" fontId="26" fillId="2" borderId="9" xfId="58" applyFont="1" applyFill="1" applyBorder="1" applyAlignment="1">
      <alignment horizontal="center" vertical="center" wrapText="1"/>
    </xf>
    <xf numFmtId="0" fontId="10" fillId="0" borderId="0" xfId="58" applyFill="1" applyBorder="1" applyAlignment="1"/>
    <xf numFmtId="0" fontId="26" fillId="0" borderId="20" xfId="58" applyFont="1" applyBorder="1"/>
    <xf numFmtId="0" fontId="26" fillId="0" borderId="25" xfId="58" applyFont="1" applyBorder="1"/>
    <xf numFmtId="0" fontId="26" fillId="2" borderId="8" xfId="58" applyFont="1" applyFill="1" applyBorder="1" applyAlignment="1">
      <alignment horizontal="center" vertical="center" wrapText="1"/>
    </xf>
    <xf numFmtId="0" fontId="10" fillId="0" borderId="10" xfId="58" applyFill="1" applyBorder="1" applyAlignment="1">
      <alignment horizontal="center"/>
    </xf>
    <xf numFmtId="0" fontId="0" fillId="0" borderId="0" xfId="0" applyAlignment="1">
      <alignment horizontal="center"/>
    </xf>
    <xf numFmtId="0" fontId="26" fillId="2" borderId="26" xfId="58" applyFont="1" applyFill="1" applyBorder="1" applyAlignment="1">
      <alignment horizontal="center" vertical="center" wrapText="1"/>
    </xf>
    <xf numFmtId="0" fontId="26" fillId="2" borderId="7" xfId="58" applyFont="1" applyFill="1" applyBorder="1" applyAlignment="1">
      <alignment horizontal="center" vertical="center" wrapText="1"/>
    </xf>
    <xf numFmtId="0" fontId="2" fillId="0" borderId="0" xfId="58" applyFont="1"/>
    <xf numFmtId="2" fontId="10" fillId="0" borderId="0" xfId="58" applyNumberFormat="1" applyAlignment="1">
      <alignment horizontal="center"/>
    </xf>
    <xf numFmtId="0" fontId="26" fillId="14" borderId="2" xfId="58" applyFont="1" applyFill="1" applyBorder="1" applyAlignment="1">
      <alignment horizontal="center" vertical="center" wrapText="1"/>
    </xf>
    <xf numFmtId="0" fontId="26" fillId="14" borderId="27" xfId="58" applyFont="1" applyFill="1" applyBorder="1" applyAlignment="1">
      <alignment horizontal="center" vertical="center" wrapText="1"/>
    </xf>
    <xf numFmtId="0" fontId="10" fillId="0" borderId="8" xfId="58" applyFill="1" applyBorder="1" applyAlignment="1">
      <alignment horizontal="center"/>
    </xf>
    <xf numFmtId="0" fontId="10" fillId="0" borderId="26" xfId="58" applyFill="1" applyBorder="1" applyAlignment="1">
      <alignment horizontal="center"/>
    </xf>
    <xf numFmtId="0" fontId="10" fillId="0" borderId="24" xfId="58" applyFill="1" applyBorder="1" applyAlignment="1">
      <alignment horizontal="center"/>
    </xf>
    <xf numFmtId="0" fontId="8" fillId="0" borderId="24" xfId="58" applyFont="1" applyFill="1" applyBorder="1" applyAlignment="1">
      <alignment horizontal="center"/>
    </xf>
    <xf numFmtId="0" fontId="10" fillId="0" borderId="24" xfId="58" applyBorder="1" applyAlignment="1">
      <alignment horizontal="center"/>
    </xf>
    <xf numFmtId="0" fontId="8" fillId="0" borderId="24" xfId="58" applyFont="1" applyBorder="1" applyAlignment="1">
      <alignment horizontal="center"/>
    </xf>
    <xf numFmtId="0" fontId="7" fillId="0" borderId="28" xfId="58" applyFont="1" applyFill="1" applyBorder="1" applyAlignment="1">
      <alignment horizontal="center"/>
    </xf>
    <xf numFmtId="0" fontId="28" fillId="0" borderId="17" xfId="58" applyFont="1" applyBorder="1" applyAlignment="1">
      <alignment horizontal="center"/>
    </xf>
    <xf numFmtId="0" fontId="28" fillId="0" borderId="0" xfId="58" applyFont="1" applyBorder="1" applyAlignment="1">
      <alignment horizontal="center"/>
    </xf>
    <xf numFmtId="0" fontId="26" fillId="2" borderId="29" xfId="58" applyFont="1" applyFill="1" applyBorder="1" applyAlignment="1">
      <alignment horizontal="center" vertical="center" wrapText="1"/>
    </xf>
    <xf numFmtId="0" fontId="26" fillId="2" borderId="30" xfId="58" applyFont="1" applyFill="1" applyBorder="1" applyAlignment="1">
      <alignment horizontal="center" vertical="center" wrapText="1"/>
    </xf>
    <xf numFmtId="0" fontId="26" fillId="2" borderId="14" xfId="58" applyFont="1" applyFill="1" applyBorder="1" applyAlignment="1">
      <alignment horizontal="center" vertical="center" wrapText="1"/>
    </xf>
    <xf numFmtId="0" fontId="26" fillId="2" borderId="15" xfId="58" applyFont="1" applyFill="1" applyBorder="1" applyAlignment="1">
      <alignment horizontal="center" vertical="center" wrapText="1"/>
    </xf>
    <xf numFmtId="0" fontId="26" fillId="0" borderId="28" xfId="58" applyFont="1" applyBorder="1"/>
    <xf numFmtId="0" fontId="26" fillId="0" borderId="31" xfId="58" applyFont="1" applyBorder="1"/>
    <xf numFmtId="0" fontId="26" fillId="0" borderId="0" xfId="58" applyFont="1" applyBorder="1" applyAlignment="1">
      <alignment horizontal="center"/>
    </xf>
    <xf numFmtId="0" fontId="2" fillId="0" borderId="16" xfId="58" applyFont="1" applyBorder="1" applyAlignment="1">
      <alignment horizontal="center"/>
    </xf>
    <xf numFmtId="0" fontId="2" fillId="0" borderId="17" xfId="58" applyFont="1" applyBorder="1" applyAlignment="1">
      <alignment horizontal="center"/>
    </xf>
    <xf numFmtId="0" fontId="2" fillId="0" borderId="18" xfId="58" applyFont="1" applyBorder="1" applyAlignment="1">
      <alignment horizontal="center"/>
    </xf>
    <xf numFmtId="0" fontId="2" fillId="0" borderId="0" xfId="58" applyFont="1" applyAlignment="1">
      <alignment horizontal="center"/>
    </xf>
    <xf numFmtId="0" fontId="9" fillId="0" borderId="18" xfId="58" applyFont="1" applyBorder="1" applyAlignment="1">
      <alignment horizontal="center"/>
    </xf>
    <xf numFmtId="0" fontId="10" fillId="0" borderId="17" xfId="58" applyBorder="1" applyAlignment="1">
      <alignment horizontal="center"/>
    </xf>
    <xf numFmtId="0" fontId="10" fillId="0" borderId="18" xfId="58" applyBorder="1" applyAlignment="1">
      <alignment horizontal="center"/>
    </xf>
    <xf numFmtId="0" fontId="10" fillId="0" borderId="0" xfId="58" applyAlignment="1">
      <alignment horizontal="center"/>
    </xf>
    <xf numFmtId="0" fontId="16" fillId="5" borderId="4" xfId="0" applyFont="1" applyFill="1" applyBorder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/>
    </xf>
    <xf numFmtId="0" fontId="16" fillId="5" borderId="16" xfId="0" applyFont="1" applyFill="1" applyBorder="1" applyAlignment="1">
      <alignment horizontal="center" vertical="center" wrapText="1"/>
    </xf>
    <xf numFmtId="0" fontId="16" fillId="5" borderId="17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 wrapText="1"/>
    </xf>
    <xf numFmtId="0" fontId="16" fillId="7" borderId="4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wrapText="1"/>
    </xf>
    <xf numFmtId="0" fontId="18" fillId="3" borderId="4" xfId="0" applyFont="1" applyFill="1" applyBorder="1" applyAlignment="1">
      <alignment horizontal="center" wrapText="1"/>
    </xf>
    <xf numFmtId="0" fontId="18" fillId="3" borderId="5" xfId="0" applyFont="1" applyFill="1" applyBorder="1" applyAlignment="1">
      <alignment horizontal="center" wrapText="1"/>
    </xf>
    <xf numFmtId="0" fontId="16" fillId="11" borderId="16" xfId="0" applyFont="1" applyFill="1" applyBorder="1" applyAlignment="1">
      <alignment horizontal="center"/>
    </xf>
    <xf numFmtId="0" fontId="16" fillId="11" borderId="17" xfId="0" applyFont="1" applyFill="1" applyBorder="1" applyAlignment="1">
      <alignment horizontal="center"/>
    </xf>
    <xf numFmtId="0" fontId="16" fillId="11" borderId="18" xfId="0" applyFont="1" applyFill="1" applyBorder="1" applyAlignment="1">
      <alignment horizontal="center"/>
    </xf>
    <xf numFmtId="0" fontId="17" fillId="2" borderId="0" xfId="0" applyFont="1" applyFill="1" applyAlignment="1">
      <alignment horizontal="center"/>
    </xf>
    <xf numFmtId="0" fontId="16" fillId="2" borderId="0" xfId="0" applyFont="1" applyFill="1" applyAlignment="1">
      <alignment horizontal="center" wrapText="1"/>
    </xf>
    <xf numFmtId="0" fontId="16" fillId="3" borderId="3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0" fontId="16" fillId="11" borderId="3" xfId="0" applyFont="1" applyFill="1" applyBorder="1" applyAlignment="1">
      <alignment horizontal="center"/>
    </xf>
    <xf numFmtId="0" fontId="16" fillId="11" borderId="4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0" xfId="58" applyFont="1" applyAlignment="1">
      <alignment horizontal="center"/>
    </xf>
    <xf numFmtId="0" fontId="26" fillId="0" borderId="0" xfId="58" applyFont="1" applyAlignment="1">
      <alignment horizontal="center" vertical="center"/>
    </xf>
    <xf numFmtId="0" fontId="1" fillId="0" borderId="0" xfId="58" applyFont="1" applyAlignment="1">
      <alignment horizontal="center"/>
    </xf>
    <xf numFmtId="1" fontId="26" fillId="14" borderId="2" xfId="58" applyNumberFormat="1" applyFont="1" applyFill="1" applyBorder="1" applyAlignment="1">
      <alignment horizontal="center" vertical="center"/>
    </xf>
    <xf numFmtId="0" fontId="1" fillId="0" borderId="24" xfId="58" applyFont="1" applyFill="1" applyBorder="1" applyAlignment="1">
      <alignment horizontal="center"/>
    </xf>
    <xf numFmtId="0" fontId="1" fillId="0" borderId="10" xfId="58" applyFont="1" applyFill="1" applyBorder="1" applyAlignment="1">
      <alignment horizontal="center"/>
    </xf>
  </cellXfs>
  <cellStyles count="59">
    <cellStyle name="Currency" xfId="57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Normal" xfId="0" builtinId="0"/>
    <cellStyle name="Normal 2" xfId="58"/>
  </cellStyles>
  <dxfs count="0"/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xVal>
            <c:numRef>
              <c:f>TopDown!$B$14:$B$20</c:f>
              <c:numCache>
                <c:formatCode>0</c:formatCode>
                <c:ptCount val="7"/>
                <c:pt idx="0">
                  <c:v>14</c:v>
                </c:pt>
                <c:pt idx="1">
                  <c:v>25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95</c:v>
                </c:pt>
                <c:pt idx="6">
                  <c:v>100</c:v>
                </c:pt>
              </c:numCache>
            </c:numRef>
          </c:xVal>
          <c:yVal>
            <c:numRef>
              <c:f>TopDown!$C$14:$C$20</c:f>
              <c:numCache>
                <c:formatCode>0</c:formatCode>
                <c:ptCount val="7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9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871808"/>
        <c:axId val="250873344"/>
      </c:scatterChart>
      <c:valAx>
        <c:axId val="250871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50873344"/>
        <c:crosses val="autoZero"/>
        <c:crossBetween val="midCat"/>
      </c:valAx>
      <c:valAx>
        <c:axId val="250873344"/>
        <c:scaling>
          <c:orientation val="minMax"/>
          <c:max val="1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5087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xVal>
            <c:numRef>
              <c:f>TopDown!$D$14:$D$20</c:f>
              <c:numCache>
                <c:formatCode>General</c:formatCode>
                <c:ptCount val="7"/>
                <c:pt idx="0">
                  <c:v>500</c:v>
                </c:pt>
                <c:pt idx="1">
                  <c:v>1000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7000</c:v>
                </c:pt>
              </c:numCache>
            </c:numRef>
          </c:xVal>
          <c:yVal>
            <c:numRef>
              <c:f>TopDown!$E$14:$E$20</c:f>
              <c:numCache>
                <c:formatCode>General</c:formatCode>
                <c:ptCount val="7"/>
                <c:pt idx="0">
                  <c:v>10</c:v>
                </c:pt>
                <c:pt idx="1">
                  <c:v>10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884864"/>
        <c:axId val="250886400"/>
      </c:scatterChart>
      <c:valAx>
        <c:axId val="25088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886400"/>
        <c:crosses val="autoZero"/>
        <c:crossBetween val="midCat"/>
      </c:valAx>
      <c:valAx>
        <c:axId val="250886400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88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xVal>
            <c:numRef>
              <c:f>TopDown!$H$14:$H$20</c:f>
              <c:numCache>
                <c:formatCode>General</c:formatCode>
                <c:ptCount val="7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600</c:v>
                </c:pt>
                <c:pt idx="4">
                  <c:v>700</c:v>
                </c:pt>
                <c:pt idx="5">
                  <c:v>800</c:v>
                </c:pt>
              </c:numCache>
            </c:numRef>
          </c:xVal>
          <c:yVal>
            <c:numRef>
              <c:f>TopDown!$I$14:$I$20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8.5</c:v>
                </c:pt>
                <c:pt idx="4">
                  <c:v>10</c:v>
                </c:pt>
                <c:pt idx="5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902016"/>
        <c:axId val="250903552"/>
      </c:scatterChart>
      <c:valAx>
        <c:axId val="25090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0903552"/>
        <c:crosses val="autoZero"/>
        <c:crossBetween val="midCat"/>
      </c:valAx>
      <c:valAx>
        <c:axId val="250903552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90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xVal>
            <c:numRef>
              <c:f>TopDown!$J$14:$J$20</c:f>
              <c:numCache>
                <c:formatCode>General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44</c:v>
                </c:pt>
              </c:numCache>
            </c:numRef>
          </c:xVal>
          <c:yVal>
            <c:numRef>
              <c:f>TopDown!$K$14:$K$20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7.5</c:v>
                </c:pt>
                <c:pt idx="4">
                  <c:v>10</c:v>
                </c:pt>
                <c:pt idx="5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927744"/>
        <c:axId val="251068800"/>
      </c:scatterChart>
      <c:valAx>
        <c:axId val="250927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068800"/>
        <c:crosses val="autoZero"/>
        <c:crossBetween val="midCat"/>
      </c:valAx>
      <c:valAx>
        <c:axId val="251068800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92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xVal>
            <c:numRef>
              <c:f>TopDown!$L$14:$L$20</c:f>
              <c:numCache>
                <c:formatCode>General</c:formatCode>
                <c:ptCount val="7"/>
                <c:pt idx="0">
                  <c:v>55</c:v>
                </c:pt>
                <c:pt idx="1">
                  <c:v>57</c:v>
                </c:pt>
                <c:pt idx="2">
                  <c:v>58</c:v>
                </c:pt>
                <c:pt idx="3">
                  <c:v>59</c:v>
                </c:pt>
                <c:pt idx="4">
                  <c:v>60</c:v>
                </c:pt>
              </c:numCache>
            </c:numRef>
          </c:xVal>
          <c:yVal>
            <c:numRef>
              <c:f>TopDown!$M$14:$M$20</c:f>
              <c:numCache>
                <c:formatCode>General</c:formatCode>
                <c:ptCount val="7"/>
                <c:pt idx="0">
                  <c:v>0</c:v>
                </c:pt>
                <c:pt idx="1">
                  <c:v>5</c:v>
                </c:pt>
                <c:pt idx="2">
                  <c:v>9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075968"/>
        <c:axId val="251090048"/>
      </c:scatterChart>
      <c:valAx>
        <c:axId val="251075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090048"/>
        <c:crosses val="autoZero"/>
        <c:crossBetween val="midCat"/>
      </c:valAx>
      <c:valAx>
        <c:axId val="251090048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07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80514914116474"/>
          <c:y val="0.12845135039050085"/>
          <c:w val="0.70932232448376942"/>
          <c:h val="0.71159467808333621"/>
        </c:manualLayout>
      </c:layout>
      <c:scatterChart>
        <c:scatterStyle val="lineMarker"/>
        <c:varyColors val="0"/>
        <c:ser>
          <c:idx val="0"/>
          <c:order val="0"/>
          <c:xVal>
            <c:numRef>
              <c:f>TopDown!$N$14:$N$17</c:f>
              <c:numCache>
                <c:formatCode>General</c:formatCode>
                <c:ptCount val="4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45.8</c:v>
                </c:pt>
              </c:numCache>
            </c:numRef>
          </c:xVal>
          <c:yVal>
            <c:numRef>
              <c:f>TopDown!$O$14:$O$17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8</c:v>
                </c:pt>
                <c:pt idx="3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09760"/>
        <c:axId val="251111296"/>
      </c:scatterChart>
      <c:valAx>
        <c:axId val="25110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111296"/>
        <c:crosses val="autoZero"/>
        <c:crossBetween val="midCat"/>
      </c:valAx>
      <c:valAx>
        <c:axId val="251111296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109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xVal>
            <c:numRef>
              <c:f>TopDown!$P$14:$P$20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</c:numCache>
            </c:numRef>
          </c:xVal>
          <c:yVal>
            <c:numRef>
              <c:f>TopDown!$Q$14:$Q$20</c:f>
              <c:numCache>
                <c:formatCode>General</c:formatCode>
                <c:ptCount val="7"/>
                <c:pt idx="0">
                  <c:v>0</c:v>
                </c:pt>
                <c:pt idx="1">
                  <c:v>8</c:v>
                </c:pt>
                <c:pt idx="2">
                  <c:v>10</c:v>
                </c:pt>
                <c:pt idx="3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401344"/>
        <c:axId val="251402880"/>
      </c:scatterChart>
      <c:valAx>
        <c:axId val="25140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402880"/>
        <c:crosses val="autoZero"/>
        <c:crossBetween val="midCat"/>
      </c:valAx>
      <c:valAx>
        <c:axId val="251402880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40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cat>
            <c:numLit>
              <c:formatCode>General</c:formatCode>
              <c:ptCount val="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</c:numLit>
          </c:cat>
          <c:val>
            <c:numRef>
              <c:f>TopDown!$S$15:$S$18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421824"/>
        <c:axId val="251423360"/>
      </c:lineChart>
      <c:catAx>
        <c:axId val="251421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423360"/>
        <c:crosses val="autoZero"/>
        <c:auto val="1"/>
        <c:lblAlgn val="ctr"/>
        <c:lblOffset val="100"/>
        <c:noMultiLvlLbl val="0"/>
      </c:catAx>
      <c:valAx>
        <c:axId val="251423360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421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xVal>
            <c:numRef>
              <c:f>TopDown!$T$14:$T$20</c:f>
              <c:numCache>
                <c:formatCode>General</c:formatCode>
                <c:ptCount val="7"/>
                <c:pt idx="0">
                  <c:v>180</c:v>
                </c:pt>
                <c:pt idx="1">
                  <c:v>240</c:v>
                </c:pt>
                <c:pt idx="2">
                  <c:v>290</c:v>
                </c:pt>
                <c:pt idx="3">
                  <c:v>315</c:v>
                </c:pt>
                <c:pt idx="4">
                  <c:v>320</c:v>
                </c:pt>
              </c:numCache>
            </c:numRef>
          </c:xVal>
          <c:yVal>
            <c:numRef>
              <c:f>TopDown!$U$14:$U$20</c:f>
              <c:numCache>
                <c:formatCode>General</c:formatCode>
                <c:ptCount val="7"/>
                <c:pt idx="0">
                  <c:v>0</c:v>
                </c:pt>
                <c:pt idx="1">
                  <c:v>4</c:v>
                </c:pt>
                <c:pt idx="2">
                  <c:v>8.5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451264"/>
        <c:axId val="251452800"/>
      </c:scatterChart>
      <c:valAx>
        <c:axId val="251451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452800"/>
        <c:crosses val="autoZero"/>
        <c:crossBetween val="midCat"/>
      </c:valAx>
      <c:valAx>
        <c:axId val="251452800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45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xVal>
            <c:numRef>
              <c:f>TopDown!$V$14:$V$20</c:f>
              <c:numCache>
                <c:formatCode>General</c:formatCode>
                <c:ptCount val="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9.5</c:v>
                </c:pt>
                <c:pt idx="4">
                  <c:v>10</c:v>
                </c:pt>
              </c:numCache>
            </c:numRef>
          </c:xVal>
          <c:yVal>
            <c:numRef>
              <c:f>TopDown!$W$14:$W$20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02176"/>
        <c:axId val="251208064"/>
      </c:scatterChart>
      <c:valAx>
        <c:axId val="251202176"/>
        <c:scaling>
          <c:orientation val="minMax"/>
          <c:max val="10"/>
          <c:min val="8"/>
        </c:scaling>
        <c:delete val="0"/>
        <c:axPos val="b"/>
        <c:numFmt formatCode="General" sourceLinked="1"/>
        <c:majorTickMark val="out"/>
        <c:minorTickMark val="none"/>
        <c:tickLblPos val="nextTo"/>
        <c:crossAx val="251208064"/>
        <c:crosses val="autoZero"/>
        <c:crossBetween val="midCat"/>
      </c:valAx>
      <c:valAx>
        <c:axId val="251208064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202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accent1"/>
              </a:solidFill>
            </a:ln>
          </c:spPr>
          <c:cat>
            <c:numRef>
              <c:f>TopDown!$X$14:$X$18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TopDown!$Y$14:$Y$18</c:f>
              <c:numCache>
                <c:formatCode>General</c:formatCode>
                <c:ptCount val="5"/>
                <c:pt idx="0">
                  <c:v>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227520"/>
        <c:axId val="251233408"/>
      </c:lineChart>
      <c:catAx>
        <c:axId val="25122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233408"/>
        <c:crosses val="autoZero"/>
        <c:auto val="1"/>
        <c:lblAlgn val="ctr"/>
        <c:lblOffset val="100"/>
        <c:noMultiLvlLbl val="0"/>
      </c:catAx>
      <c:valAx>
        <c:axId val="251233408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227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cat>
            <c:numRef>
              <c:f>TopDown!$Z$14:$Z$17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cat>
          <c:val>
            <c:numRef>
              <c:f>TopDown!$AA$14:$AA$17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257216"/>
        <c:axId val="251258752"/>
      </c:lineChart>
      <c:catAx>
        <c:axId val="25125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258752"/>
        <c:crosses val="autoZero"/>
        <c:auto val="1"/>
        <c:lblAlgn val="ctr"/>
        <c:lblOffset val="100"/>
        <c:noMultiLvlLbl val="0"/>
      </c:catAx>
      <c:valAx>
        <c:axId val="251258752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257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cat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cat>
          <c:val>
            <c:numRef>
              <c:f>TopDown!$AC$14:$AC$16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282944"/>
        <c:axId val="251284480"/>
      </c:lineChart>
      <c:catAx>
        <c:axId val="251282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284480"/>
        <c:crosses val="autoZero"/>
        <c:auto val="1"/>
        <c:lblAlgn val="ctr"/>
        <c:lblOffset val="100"/>
        <c:noMultiLvlLbl val="0"/>
      </c:catAx>
      <c:valAx>
        <c:axId val="251284480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282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cat>
            <c:strRef>
              <c:f>TopDown!$AD$14:$AD$16</c:f>
              <c:strCache>
                <c:ptCount val="1"/>
                <c:pt idx="0">
                  <c:v>4 Door</c:v>
                </c:pt>
              </c:strCache>
            </c:strRef>
          </c:cat>
          <c:val>
            <c:numRef>
              <c:f>TopDown!$AE$14:$AE$16</c:f>
              <c:numCache>
                <c:formatCode>General</c:formatCode>
                <c:ptCount val="3"/>
                <c:pt idx="0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291904"/>
        <c:axId val="251310080"/>
      </c:lineChart>
      <c:catAx>
        <c:axId val="25129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310080"/>
        <c:crosses val="autoZero"/>
        <c:auto val="1"/>
        <c:lblAlgn val="ctr"/>
        <c:lblOffset val="100"/>
        <c:noMultiLvlLbl val="0"/>
      </c:catAx>
      <c:valAx>
        <c:axId val="251310080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291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cat>
            <c:strRef>
              <c:f>TopDown!$AF$14:$AF$16</c:f>
              <c:strCache>
                <c:ptCount val="1"/>
                <c:pt idx="0">
                  <c:v>leather</c:v>
                </c:pt>
              </c:strCache>
            </c:strRef>
          </c:cat>
          <c:val>
            <c:numRef>
              <c:f>TopDown!$AG$14:$AG$16</c:f>
              <c:numCache>
                <c:formatCode>General</c:formatCode>
                <c:ptCount val="3"/>
                <c:pt idx="0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317248"/>
        <c:axId val="251732736"/>
      </c:lineChart>
      <c:catAx>
        <c:axId val="25131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732736"/>
        <c:crosses val="autoZero"/>
        <c:auto val="1"/>
        <c:lblAlgn val="ctr"/>
        <c:lblOffset val="100"/>
        <c:noMultiLvlLbl val="0"/>
      </c:catAx>
      <c:valAx>
        <c:axId val="251732736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317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65161581179271"/>
          <c:y val="8.8565868831411917E-2"/>
          <c:w val="0.74442311749381129"/>
          <c:h val="0.71159467808333621"/>
        </c:manualLayout>
      </c:layout>
      <c:lineChart>
        <c:grouping val="standard"/>
        <c:varyColors val="0"/>
        <c:ser>
          <c:idx val="0"/>
          <c:order val="0"/>
          <c:cat>
            <c:numRef>
              <c:f>TopDown!$A$23:$A$27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TopDown!$G$14:$G$17</c:f>
              <c:numCache>
                <c:formatCode>General</c:formatCode>
                <c:ptCount val="4"/>
                <c:pt idx="0">
                  <c:v>1</c:v>
                </c:pt>
                <c:pt idx="1">
                  <c:v>10</c:v>
                </c:pt>
                <c:pt idx="2">
                  <c:v>5</c:v>
                </c:pt>
                <c:pt idx="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743616"/>
        <c:axId val="251761792"/>
      </c:lineChart>
      <c:catAx>
        <c:axId val="251743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1761792"/>
        <c:crosses val="autoZero"/>
        <c:auto val="1"/>
        <c:lblAlgn val="ctr"/>
        <c:lblOffset val="100"/>
        <c:noMultiLvlLbl val="0"/>
      </c:catAx>
      <c:valAx>
        <c:axId val="251761792"/>
        <c:scaling>
          <c:orientation val="minMax"/>
          <c:max val="1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743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vs. Score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423827391260796"/>
          <c:y val="9.4130801256553875E-2"/>
          <c:w val="0.62383777244047189"/>
          <c:h val="0.79142700614244788"/>
        </c:manualLayout>
      </c:layout>
      <c:scatterChart>
        <c:scatterStyle val="lineMarker"/>
        <c:varyColors val="0"/>
        <c:ser>
          <c:idx val="0"/>
          <c:order val="0"/>
          <c:tx>
            <c:strRef>
              <c:f>'Hierarchy &amp; Data'!$A$30:$A$31</c:f>
              <c:strCache>
                <c:ptCount val="1"/>
                <c:pt idx="0">
                  <c:v>2014 Toyota Camry</c:v>
                </c:pt>
              </c:strCache>
            </c:strRef>
          </c:tx>
          <c:spPr>
            <a:ln w="28575">
              <a:noFill/>
            </a:ln>
          </c:spPr>
          <c:xVal>
            <c:numRef>
              <c:f>'Hierarchy &amp; Data'!$C$30</c:f>
              <c:numCache>
                <c:formatCode>General</c:formatCode>
                <c:ptCount val="1"/>
                <c:pt idx="0">
                  <c:v>18000</c:v>
                </c:pt>
              </c:numCache>
            </c:numRef>
          </c:xVal>
          <c:yVal>
            <c:numRef>
              <c:f>'Hierarchy &amp; Data'!$S$31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'Hierarchy &amp; Data'!$A$32:$A$33</c:f>
              <c:strCache>
                <c:ptCount val="1"/>
                <c:pt idx="0">
                  <c:v>2016 Toyota Rav4 Hybrid XLE</c:v>
                </c:pt>
              </c:strCache>
            </c:strRef>
          </c:tx>
          <c:spPr>
            <a:ln w="28575">
              <a:noFill/>
            </a:ln>
          </c:spPr>
          <c:xVal>
            <c:numRef>
              <c:f>'Hierarchy &amp; Data'!$C$32</c:f>
              <c:numCache>
                <c:formatCode>General</c:formatCode>
                <c:ptCount val="1"/>
                <c:pt idx="0">
                  <c:v>27964</c:v>
                </c:pt>
              </c:numCache>
            </c:numRef>
          </c:xVal>
          <c:yVal>
            <c:numRef>
              <c:f>'Hierarchy &amp; Data'!$S$33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'Hierarchy &amp; Data'!$A$34:$A$35</c:f>
              <c:strCache>
                <c:ptCount val="1"/>
                <c:pt idx="0">
                  <c:v>C</c:v>
                </c:pt>
              </c:strCache>
            </c:strRef>
          </c:tx>
          <c:spPr>
            <a:ln w="28575">
              <a:noFill/>
            </a:ln>
          </c:spPr>
          <c:xVal>
            <c:numRef>
              <c:f>'Hierarchy &amp; Data'!$C$34</c:f>
              <c:numCache>
                <c:formatCode>General</c:formatCode>
                <c:ptCount val="1"/>
              </c:numCache>
            </c:numRef>
          </c:xVal>
          <c:yVal>
            <c:numRef>
              <c:f>'Hierarchy &amp; Data'!$S$35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'Hierarchy &amp; Data'!$A$36:$A$37</c:f>
              <c:strCache>
                <c:ptCount val="1"/>
                <c:pt idx="0">
                  <c:v>D</c:v>
                </c:pt>
              </c:strCache>
            </c:strRef>
          </c:tx>
          <c:spPr>
            <a:ln w="28575">
              <a:noFill/>
            </a:ln>
          </c:spPr>
          <c:xVal>
            <c:numRef>
              <c:f>'Hierarchy &amp; Data'!$C$36</c:f>
              <c:numCache>
                <c:formatCode>General</c:formatCode>
                <c:ptCount val="1"/>
              </c:numCache>
            </c:numRef>
          </c:xVal>
          <c:yVal>
            <c:numRef>
              <c:f>'Hierarchy &amp; Data'!$S$37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'Hierarchy &amp; Data'!$A$38:$A$39</c:f>
              <c:strCache>
                <c:ptCount val="1"/>
                <c:pt idx="0">
                  <c:v>E</c:v>
                </c:pt>
              </c:strCache>
            </c:strRef>
          </c:tx>
          <c:spPr>
            <a:ln w="28575">
              <a:noFill/>
            </a:ln>
          </c:spPr>
          <c:xVal>
            <c:numRef>
              <c:f>'Hierarchy &amp; Data'!$C$38</c:f>
              <c:numCache>
                <c:formatCode>General</c:formatCode>
                <c:ptCount val="1"/>
              </c:numCache>
            </c:numRef>
          </c:xVal>
          <c:yVal>
            <c:numRef>
              <c:f>'Hierarchy &amp; Data'!$S$39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'Hierarchy &amp; Data'!$A$40:$A$41</c:f>
              <c:strCache>
                <c:ptCount val="1"/>
                <c:pt idx="0">
                  <c:v>F</c:v>
                </c:pt>
              </c:strCache>
            </c:strRef>
          </c:tx>
          <c:spPr>
            <a:ln w="28575">
              <a:noFill/>
            </a:ln>
          </c:spPr>
          <c:xVal>
            <c:numRef>
              <c:f>'Hierarchy &amp; Data'!$C$40</c:f>
              <c:numCache>
                <c:formatCode>General</c:formatCode>
                <c:ptCount val="1"/>
              </c:numCache>
            </c:numRef>
          </c:xVal>
          <c:yVal>
            <c:numRef>
              <c:f>'Hierarchy &amp; Data'!$S$41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31808"/>
        <c:axId val="251833728"/>
      </c:scatterChart>
      <c:valAx>
        <c:axId val="251831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Base</a:t>
                </a:r>
                <a:r>
                  <a:rPr lang="en-US" baseline="0"/>
                  <a:t> </a:t>
                </a:r>
                <a:r>
                  <a:rPr lang="en-US"/>
                  <a:t>Price ($)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1833728"/>
        <c:crosses val="autoZero"/>
        <c:crossBetween val="midCat"/>
      </c:valAx>
      <c:valAx>
        <c:axId val="251833728"/>
        <c:scaling>
          <c:orientation val="minMax"/>
          <c:min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Score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1831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1309307155982167"/>
          <c:y val="0.30112453681427626"/>
          <c:w val="3.2018644915517869E-2"/>
          <c:h val="0.18776552901098104"/>
        </c:manualLayout>
      </c:layout>
      <c:overlay val="0"/>
      <c:txPr>
        <a:bodyPr/>
        <a:lstStyle/>
        <a:p>
          <a:pPr>
            <a:defRPr sz="900"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TopDown!$AO$10</c:f>
              <c:strCache>
                <c:ptCount val="1"/>
                <c:pt idx="0">
                  <c:v>BMW 535d</c:v>
                </c:pt>
              </c:strCache>
            </c:strRef>
          </c:tx>
          <c:xVal>
            <c:numRef>
              <c:f>TopDown!$AP$9:$AZ$9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TopDown!$AP$10:$AZ$10</c:f>
              <c:numCache>
                <c:formatCode>General</c:formatCode>
                <c:ptCount val="11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TopDown!$AO$11</c:f>
              <c:strCache>
                <c:ptCount val="1"/>
                <c:pt idx="0">
                  <c:v>Chevy Impala V6</c:v>
                </c:pt>
              </c:strCache>
            </c:strRef>
          </c:tx>
          <c:xVal>
            <c:numRef>
              <c:f>TopDown!$AP$9:$AZ$9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TopDown!$AP$11:$AZ$11</c:f>
              <c:numCache>
                <c:formatCode>General</c:formatCode>
                <c:ptCount val="11"/>
                <c:pt idx="0" formatCode="0.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 formatCode="0.000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TopDown!$AO$12</c:f>
              <c:strCache>
                <c:ptCount val="1"/>
                <c:pt idx="0">
                  <c:v>CadillacCTS</c:v>
                </c:pt>
              </c:strCache>
            </c:strRef>
          </c:tx>
          <c:xVal>
            <c:numRef>
              <c:f>TopDown!$AP$9:$AZ$9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TopDown!$AP$12:$AZ$12</c:f>
              <c:numCache>
                <c:formatCode>General</c:formatCode>
                <c:ptCount val="11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TopDown!$AO$13</c:f>
              <c:strCache>
                <c:ptCount val="1"/>
                <c:pt idx="0">
                  <c:v>LincolnMKS</c:v>
                </c:pt>
              </c:strCache>
            </c:strRef>
          </c:tx>
          <c:xVal>
            <c:numRef>
              <c:f>TopDown!$AP$9:$AZ$9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TopDown!$AP$13:$AZ$13</c:f>
              <c:numCache>
                <c:formatCode>General</c:formatCode>
                <c:ptCount val="11"/>
                <c:pt idx="0" formatCode="0.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 formatCode="0.000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TopDown!$AO$14</c:f>
              <c:strCache>
                <c:ptCount val="1"/>
                <c:pt idx="0">
                  <c:v>BuickRegal</c:v>
                </c:pt>
              </c:strCache>
            </c:strRef>
          </c:tx>
          <c:xVal>
            <c:numRef>
              <c:f>TopDown!$AP$9:$AZ$9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TopDown!$AP$14:$AZ$14</c:f>
              <c:numCache>
                <c:formatCode>General</c:formatCode>
                <c:ptCount val="11"/>
                <c:pt idx="0" formatCode="0.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 formatCode="0.000">
                  <c:v>#N/A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TopDown!$AO$15</c:f>
              <c:strCache>
                <c:ptCount val="1"/>
                <c:pt idx="0">
                  <c:v>TeslaModelS</c:v>
                </c:pt>
              </c:strCache>
            </c:strRef>
          </c:tx>
          <c:xVal>
            <c:numRef>
              <c:f>TopDown!$AP$9:$AZ$9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TopDown!$AP$15:$AZ$15</c:f>
              <c:numCache>
                <c:formatCode>General</c:formatCode>
                <c:ptCount val="11"/>
                <c:pt idx="0" formatCode="0.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 formatCode="0.000">
                  <c:v>#N/A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TopDown!$AO$16</c:f>
              <c:strCache>
                <c:ptCount val="1"/>
                <c:pt idx="0">
                  <c:v>Honda Accord Hy</c:v>
                </c:pt>
              </c:strCache>
            </c:strRef>
          </c:tx>
          <c:xVal>
            <c:numRef>
              <c:f>TopDown!$AP$9:$AZ$9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TopDown!$AP$16:$AZ$16</c:f>
              <c:numCache>
                <c:formatCode>General</c:formatCode>
                <c:ptCount val="11"/>
                <c:pt idx="0" formatCode="0.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 formatCode="0.000">
                  <c:v>#N/A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TopDown!$AO$17</c:f>
              <c:strCache>
                <c:ptCount val="1"/>
                <c:pt idx="0">
                  <c:v>Ford Taurus</c:v>
                </c:pt>
              </c:strCache>
            </c:strRef>
          </c:tx>
          <c:xVal>
            <c:numRef>
              <c:f>TopDown!$AP$9:$AZ$9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TopDown!$AP$17:$AZ$17</c:f>
              <c:numCache>
                <c:formatCode>0.00</c:formatCode>
                <c:ptCount val="11"/>
                <c:pt idx="0" formatCode="0.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  <c:pt idx="9" formatCode="General">
                  <c:v>#N/A</c:v>
                </c:pt>
                <c:pt idx="10" formatCode="0.000">
                  <c:v>#N/A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TopDown!$AO$18</c:f>
              <c:strCache>
                <c:ptCount val="1"/>
                <c:pt idx="0">
                  <c:v>Ford Fusion Hybrid</c:v>
                </c:pt>
              </c:strCache>
            </c:strRef>
          </c:tx>
          <c:xVal>
            <c:numRef>
              <c:f>TopDown!$AP$9:$AZ$9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TopDown!$AP$18:$AZ$18</c:f>
              <c:numCache>
                <c:formatCode>0.00</c:formatCode>
                <c:ptCount val="11"/>
                <c:pt idx="0" formatCode="0.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  <c:pt idx="9" formatCode="General">
                  <c:v>#N/A</c:v>
                </c:pt>
                <c:pt idx="10" formatCode="0.000">
                  <c:v>#N/A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TopDown!$AO$19</c:f>
              <c:strCache>
                <c:ptCount val="1"/>
                <c:pt idx="0">
                  <c:v>08 Ford Explorer Lim v6 Baseline</c:v>
                </c:pt>
              </c:strCache>
            </c:strRef>
          </c:tx>
          <c:xVal>
            <c:numRef>
              <c:f>TopDown!$AP$9:$AZ$9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TopDown!$AP$19:$AZ$19</c:f>
              <c:numCache>
                <c:formatCode>0.00</c:formatCode>
                <c:ptCount val="11"/>
                <c:pt idx="0" formatCode="0.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  <c:pt idx="9" formatCode="General">
                  <c:v>#N/A</c:v>
                </c:pt>
                <c:pt idx="10" formatCode="0.000">
                  <c:v>#N/A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TopDown!$AO$20</c:f>
              <c:strCache>
                <c:ptCount val="1"/>
                <c:pt idx="0">
                  <c:v>Toyota Camry Hybrid</c:v>
                </c:pt>
              </c:strCache>
            </c:strRef>
          </c:tx>
          <c:xVal>
            <c:numRef>
              <c:f>TopDown!$AP$9:$AZ$9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TopDown!$AP$20:$AZ$20</c:f>
              <c:numCache>
                <c:formatCode>0.00</c:formatCode>
                <c:ptCount val="11"/>
                <c:pt idx="0" formatCode="0.000">
                  <c:v>5.6560365069363172</c:v>
                </c:pt>
                <c:pt idx="1">
                  <c:v>5.6066896814940295</c:v>
                </c:pt>
                <c:pt idx="2">
                  <c:v>5.5526431583905707</c:v>
                </c:pt>
                <c:pt idx="3">
                  <c:v>5.4931919829767661</c:v>
                </c:pt>
                <c:pt idx="4">
                  <c:v>5.4274827890983497</c:v>
                </c:pt>
                <c:pt idx="5">
                  <c:v>5.3544725736778878</c:v>
                </c:pt>
                <c:pt idx="6">
                  <c:v>5.2728729211491352</c:v>
                </c:pt>
                <c:pt idx="7" formatCode="General">
                  <c:v>5.1810733120542896</c:v>
                </c:pt>
                <c:pt idx="8" formatCode="General">
                  <c:v>5.077033755080131</c:v>
                </c:pt>
                <c:pt idx="9" formatCode="General">
                  <c:v>4.958131404252522</c:v>
                </c:pt>
                <c:pt idx="10" formatCode="0.000">
                  <c:v>4.8209363840668189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TopDown!$AO$21</c:f>
              <c:strCache>
                <c:ptCount val="1"/>
                <c:pt idx="0">
                  <c:v>Jeep Cherokee</c:v>
                </c:pt>
              </c:strCache>
            </c:strRef>
          </c:tx>
          <c:xVal>
            <c:numRef>
              <c:f>TopDown!$AP$9:$AZ$9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xVal>
          <c:yVal>
            <c:numRef>
              <c:f>TopDown!$AP$21:$AZ$21</c:f>
              <c:numCache>
                <c:formatCode>0.00</c:formatCode>
                <c:ptCount val="11"/>
                <c:pt idx="0" formatCode="0.000">
                  <c:v>6.1339685502745516</c:v>
                </c:pt>
                <c:pt idx="1">
                  <c:v>6.1721176889233957</c:v>
                </c:pt>
                <c:pt idx="2">
                  <c:v>6.2139000788721281</c:v>
                </c:pt>
                <c:pt idx="3">
                  <c:v>6.2598607078157347</c:v>
                </c:pt>
                <c:pt idx="4">
                  <c:v>6.3106592977007727</c:v>
                </c:pt>
                <c:pt idx="5">
                  <c:v>6.3671021753508175</c:v>
                </c:pt>
                <c:pt idx="6">
                  <c:v>6.4301853915479237</c:v>
                </c:pt>
                <c:pt idx="7" formatCode="General">
                  <c:v>6.5011540097696692</c:v>
                </c:pt>
                <c:pt idx="8" formatCode="General">
                  <c:v>6.5815851104209804</c:v>
                </c:pt>
                <c:pt idx="9" formatCode="General">
                  <c:v>6.6735063683081925</c:v>
                </c:pt>
                <c:pt idx="10" formatCode="0.000">
                  <c:v>6.7795693581780547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511552"/>
        <c:axId val="251513088"/>
      </c:scatterChart>
      <c:valAx>
        <c:axId val="25151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513088"/>
        <c:crosses val="autoZero"/>
        <c:crossBetween val="midCat"/>
      </c:valAx>
      <c:valAx>
        <c:axId val="251513088"/>
        <c:scaling>
          <c:orientation val="minMax"/>
          <c:min val="4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51511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A3C5B9C-DDB1-404E-9371-688437EEC9A3}" type="doc">
      <dgm:prSet loTypeId="urn:microsoft.com/office/officeart/2005/8/layout/orgChart1" loCatId="hierarchy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A3DFA7A1-764C-474B-B0D4-3DF0EB93137D}">
      <dgm:prSet phldrT="[Text]"/>
      <dgm:spPr/>
      <dgm:t>
        <a:bodyPr/>
        <a:lstStyle/>
        <a:p>
          <a:r>
            <a:rPr lang="en-US"/>
            <a:t>Compare Vehicles for Me</a:t>
          </a:r>
        </a:p>
        <a:p>
          <a:endParaRPr lang="en-US"/>
        </a:p>
      </dgm:t>
    </dgm:pt>
    <dgm:pt modelId="{142DD30F-6088-46F0-A1EF-ED568EFA3B9A}" type="parTrans" cxnId="{52242260-9C6E-424F-80A1-5293F1BFCFBB}">
      <dgm:prSet/>
      <dgm:spPr/>
      <dgm:t>
        <a:bodyPr/>
        <a:lstStyle/>
        <a:p>
          <a:endParaRPr lang="en-US"/>
        </a:p>
      </dgm:t>
    </dgm:pt>
    <dgm:pt modelId="{84190815-183A-48A0-959F-2951DB9EE131}" type="sibTrans" cxnId="{52242260-9C6E-424F-80A1-5293F1BFCFBB}">
      <dgm:prSet/>
      <dgm:spPr/>
      <dgm:t>
        <a:bodyPr/>
        <a:lstStyle/>
        <a:p>
          <a:endParaRPr lang="en-US"/>
        </a:p>
      </dgm:t>
    </dgm:pt>
    <dgm:pt modelId="{39D9D838-F72E-4615-AC38-7475BBA4BF10}">
      <dgm:prSet phldrT="[Text]"/>
      <dgm:spPr/>
      <dgm:t>
        <a:bodyPr/>
        <a:lstStyle/>
        <a:p>
          <a:r>
            <a:rPr lang="en-US"/>
            <a:t>Safe &amp; Utility</a:t>
          </a:r>
        </a:p>
      </dgm:t>
    </dgm:pt>
    <dgm:pt modelId="{75278729-7E85-4C07-B9BB-4A3C1F515EA8}" type="parTrans" cxnId="{15F5DC8F-1BE2-449E-99FF-F3C7E453C30B}">
      <dgm:prSet/>
      <dgm:spPr/>
      <dgm:t>
        <a:bodyPr/>
        <a:lstStyle/>
        <a:p>
          <a:endParaRPr lang="en-US"/>
        </a:p>
      </dgm:t>
    </dgm:pt>
    <dgm:pt modelId="{DB6F379E-D469-41E4-B28A-CD2675C664C2}" type="sibTrans" cxnId="{15F5DC8F-1BE2-449E-99FF-F3C7E453C30B}">
      <dgm:prSet/>
      <dgm:spPr/>
      <dgm:t>
        <a:bodyPr/>
        <a:lstStyle/>
        <a:p>
          <a:endParaRPr lang="en-US"/>
        </a:p>
      </dgm:t>
    </dgm:pt>
    <dgm:pt modelId="{61D60A39-E0D3-4406-A610-4F67E620C80C}">
      <dgm:prSet phldrT="[Text]"/>
      <dgm:spPr/>
      <dgm:t>
        <a:bodyPr/>
        <a:lstStyle/>
        <a:p>
          <a:r>
            <a:rPr lang="en-US"/>
            <a:t>Environmentally Friendly</a:t>
          </a:r>
        </a:p>
      </dgm:t>
    </dgm:pt>
    <dgm:pt modelId="{99F306E7-B961-4136-A257-0433EBF1C621}" type="parTrans" cxnId="{A7026053-1F7E-44D7-BA4B-C382EBA29DF6}">
      <dgm:prSet/>
      <dgm:spPr/>
      <dgm:t>
        <a:bodyPr/>
        <a:lstStyle/>
        <a:p>
          <a:endParaRPr lang="en-US"/>
        </a:p>
      </dgm:t>
    </dgm:pt>
    <dgm:pt modelId="{5CAB65DB-37D0-49C1-96B7-51A170AFEC3D}" type="sibTrans" cxnId="{A7026053-1F7E-44D7-BA4B-C382EBA29DF6}">
      <dgm:prSet/>
      <dgm:spPr/>
      <dgm:t>
        <a:bodyPr/>
        <a:lstStyle/>
        <a:p>
          <a:endParaRPr lang="en-US"/>
        </a:p>
      </dgm:t>
    </dgm:pt>
    <dgm:pt modelId="{BDFC517F-AB05-4DF9-A8D5-608C2A440C56}">
      <dgm:prSet phldrT="[Text]"/>
      <dgm:spPr/>
      <dgm:t>
        <a:bodyPr/>
        <a:lstStyle/>
        <a:p>
          <a:r>
            <a:rPr lang="en-US"/>
            <a:t>HWY Fuel Economy (MPG)</a:t>
          </a:r>
        </a:p>
      </dgm:t>
    </dgm:pt>
    <dgm:pt modelId="{071E5E0E-C1E9-4E3D-9785-C92656DBF2B8}" type="parTrans" cxnId="{4DFC3050-8F45-4007-9402-101995A60805}">
      <dgm:prSet/>
      <dgm:spPr/>
      <dgm:t>
        <a:bodyPr/>
        <a:lstStyle/>
        <a:p>
          <a:endParaRPr lang="en-US"/>
        </a:p>
      </dgm:t>
    </dgm:pt>
    <dgm:pt modelId="{29FA1AF4-121D-40C6-BBD8-41BBA6B50B16}" type="sibTrans" cxnId="{4DFC3050-8F45-4007-9402-101995A60805}">
      <dgm:prSet/>
      <dgm:spPr/>
      <dgm:t>
        <a:bodyPr/>
        <a:lstStyle/>
        <a:p>
          <a:endParaRPr lang="en-US"/>
        </a:p>
      </dgm:t>
    </dgm:pt>
    <dgm:pt modelId="{765C8C11-88A9-4F34-A551-6847125F54FD}">
      <dgm:prSet phldrT="[Text]"/>
      <dgm:spPr/>
      <dgm:t>
        <a:bodyPr/>
        <a:lstStyle/>
        <a:p>
          <a:r>
            <a:rPr lang="en-US"/>
            <a:t>US News Safety Rating </a:t>
          </a:r>
          <a:br>
            <a:rPr lang="en-US"/>
          </a:br>
          <a:r>
            <a:rPr lang="en-US"/>
            <a:t>(10 pts)</a:t>
          </a:r>
        </a:p>
      </dgm:t>
    </dgm:pt>
    <dgm:pt modelId="{E46C61CF-3AD3-4724-BD8E-5FB00EF5BA9B}" type="parTrans" cxnId="{9CC0B021-C6F6-4488-92A7-3761921F72BF}">
      <dgm:prSet/>
      <dgm:spPr/>
      <dgm:t>
        <a:bodyPr/>
        <a:lstStyle/>
        <a:p>
          <a:endParaRPr lang="en-US"/>
        </a:p>
      </dgm:t>
    </dgm:pt>
    <dgm:pt modelId="{41C44633-BDC9-48DD-8AD3-7B79D68CE132}" type="sibTrans" cxnId="{9CC0B021-C6F6-4488-92A7-3761921F72BF}">
      <dgm:prSet/>
      <dgm:spPr/>
      <dgm:t>
        <a:bodyPr/>
        <a:lstStyle/>
        <a:p>
          <a:endParaRPr lang="en-US"/>
        </a:p>
      </dgm:t>
    </dgm:pt>
    <dgm:pt modelId="{554DC1AC-70F0-4C3E-B7EC-5E8CA3569F95}">
      <dgm:prSet phldrT="[Text]"/>
      <dgm:spPr/>
      <dgm:t>
        <a:bodyPr/>
        <a:lstStyle/>
        <a:p>
          <a:r>
            <a:rPr lang="en-US"/>
            <a:t>Rollover Rating </a:t>
          </a:r>
          <a:br>
            <a:rPr lang="en-US"/>
          </a:br>
          <a:r>
            <a:rPr lang="en-US"/>
            <a:t>(5-star)</a:t>
          </a:r>
        </a:p>
      </dgm:t>
    </dgm:pt>
    <dgm:pt modelId="{2551816C-F1DC-4ECF-A444-1C06B3D42874}" type="parTrans" cxnId="{63369AB2-53C8-42D0-8B58-E9A2676B856F}">
      <dgm:prSet/>
      <dgm:spPr/>
      <dgm:t>
        <a:bodyPr/>
        <a:lstStyle/>
        <a:p>
          <a:endParaRPr lang="en-US"/>
        </a:p>
      </dgm:t>
    </dgm:pt>
    <dgm:pt modelId="{7D77AE86-6986-4EEC-AD18-3585686375BE}" type="sibTrans" cxnId="{63369AB2-53C8-42D0-8B58-E9A2676B856F}">
      <dgm:prSet/>
      <dgm:spPr/>
      <dgm:t>
        <a:bodyPr/>
        <a:lstStyle/>
        <a:p>
          <a:endParaRPr lang="en-US"/>
        </a:p>
      </dgm:t>
    </dgm:pt>
    <dgm:pt modelId="{CE80B9DE-DC20-4F93-91C8-9EC3B0C34760}">
      <dgm:prSet phldrT="[Text]"/>
      <dgm:spPr/>
      <dgm:t>
        <a:bodyPr/>
        <a:lstStyle/>
        <a:p>
          <a:r>
            <a:rPr lang="en-US"/>
            <a:t>Luxury</a:t>
          </a:r>
        </a:p>
      </dgm:t>
    </dgm:pt>
    <dgm:pt modelId="{8AC8C98E-2F47-442C-A093-B003113D3A33}" type="parTrans" cxnId="{260B9C23-C6C9-4EA0-93C0-199B0E7075D9}">
      <dgm:prSet/>
      <dgm:spPr/>
      <dgm:t>
        <a:bodyPr/>
        <a:lstStyle/>
        <a:p>
          <a:endParaRPr lang="en-US"/>
        </a:p>
      </dgm:t>
    </dgm:pt>
    <dgm:pt modelId="{2821CB04-43F2-4A60-B2D0-5DC279CD1F4F}" type="sibTrans" cxnId="{260B9C23-C6C9-4EA0-93C0-199B0E7075D9}">
      <dgm:prSet/>
      <dgm:spPr/>
      <dgm:t>
        <a:bodyPr/>
        <a:lstStyle/>
        <a:p>
          <a:endParaRPr lang="en-US"/>
        </a:p>
      </dgm:t>
    </dgm:pt>
    <dgm:pt modelId="{73878CA9-DA68-4485-A2B6-69CAA0D18710}">
      <dgm:prSet phldrT="[Text]"/>
      <dgm:spPr/>
      <dgm:t>
        <a:bodyPr/>
        <a:lstStyle/>
        <a:p>
          <a:r>
            <a:rPr lang="en-US"/>
            <a:t>US Manufacturer?</a:t>
          </a:r>
          <a:br>
            <a:rPr lang="en-US"/>
          </a:br>
          <a:r>
            <a:rPr lang="en-US"/>
            <a:t>(Yes/No)</a:t>
          </a:r>
        </a:p>
      </dgm:t>
    </dgm:pt>
    <dgm:pt modelId="{06A4315D-7584-48D2-9D78-4CCEE6B8DB0D}" type="parTrans" cxnId="{98165479-0FFC-4A28-A9F5-D124A7E7F88B}">
      <dgm:prSet/>
      <dgm:spPr/>
      <dgm:t>
        <a:bodyPr/>
        <a:lstStyle/>
        <a:p>
          <a:endParaRPr lang="en-US"/>
        </a:p>
      </dgm:t>
    </dgm:pt>
    <dgm:pt modelId="{CCEC94F0-2F93-41BE-8BDC-FAFF04B2E46C}" type="sibTrans" cxnId="{98165479-0FFC-4A28-A9F5-D124A7E7F88B}">
      <dgm:prSet/>
      <dgm:spPr/>
      <dgm:t>
        <a:bodyPr/>
        <a:lstStyle/>
        <a:p>
          <a:endParaRPr lang="en-US"/>
        </a:p>
      </dgm:t>
    </dgm:pt>
    <dgm:pt modelId="{03913791-6852-43AC-8B5A-8E28ACD6D09D}">
      <dgm:prSet phldrT="[Text]"/>
      <dgm:spPr/>
      <dgm:t>
        <a:bodyPr/>
        <a:lstStyle/>
        <a:p>
          <a:r>
            <a:rPr lang="en-US"/>
            <a:t># Airbags</a:t>
          </a:r>
        </a:p>
      </dgm:t>
    </dgm:pt>
    <dgm:pt modelId="{09A272C9-B452-4720-911C-51C72BF8E5DF}" type="parTrans" cxnId="{91CEE73D-1A5F-466A-8D4B-1F1FF90753D7}">
      <dgm:prSet/>
      <dgm:spPr/>
      <dgm:t>
        <a:bodyPr/>
        <a:lstStyle/>
        <a:p>
          <a:endParaRPr lang="en-US"/>
        </a:p>
      </dgm:t>
    </dgm:pt>
    <dgm:pt modelId="{23F4B41A-2523-4322-8EB7-417E82832124}" type="sibTrans" cxnId="{91CEE73D-1A5F-466A-8D4B-1F1FF90753D7}">
      <dgm:prSet/>
      <dgm:spPr/>
      <dgm:t>
        <a:bodyPr/>
        <a:lstStyle/>
        <a:p>
          <a:endParaRPr lang="en-US"/>
        </a:p>
      </dgm:t>
    </dgm:pt>
    <dgm:pt modelId="{A2FF0EED-87E5-47E7-A985-8616B200772E}">
      <dgm:prSet phldrT="[Text]"/>
      <dgm:spPr/>
      <dgm:t>
        <a:bodyPr/>
        <a:lstStyle/>
        <a:p>
          <a:r>
            <a:rPr lang="en-US"/>
            <a:t>&gt;=4 door</a:t>
          </a:r>
        </a:p>
      </dgm:t>
    </dgm:pt>
    <dgm:pt modelId="{FA31AF5D-6796-4F98-BE71-440DEA9551BD}" type="parTrans" cxnId="{C554BBE4-80B2-4072-BF96-EDE661506D14}">
      <dgm:prSet/>
      <dgm:spPr/>
      <dgm:t>
        <a:bodyPr/>
        <a:lstStyle/>
        <a:p>
          <a:endParaRPr lang="en-US"/>
        </a:p>
      </dgm:t>
    </dgm:pt>
    <dgm:pt modelId="{8BCDF686-7073-4051-AB24-F6103A03DEA5}" type="sibTrans" cxnId="{C554BBE4-80B2-4072-BF96-EDE661506D14}">
      <dgm:prSet/>
      <dgm:spPr/>
      <dgm:t>
        <a:bodyPr/>
        <a:lstStyle/>
        <a:p>
          <a:endParaRPr lang="en-US"/>
        </a:p>
      </dgm:t>
    </dgm:pt>
    <dgm:pt modelId="{66D98AAE-9BCB-436C-B89D-1E7EE104E348}">
      <dgm:prSet phldrT="[Text]"/>
      <dgm:spPr/>
      <dgm:t>
        <a:bodyPr/>
        <a:lstStyle/>
        <a:p>
          <a:r>
            <a:rPr lang="en-US"/>
            <a:t>Safety Ratings</a:t>
          </a:r>
        </a:p>
      </dgm:t>
    </dgm:pt>
    <dgm:pt modelId="{8576D378-B33E-48A8-981E-E53A53B60005}" type="parTrans" cxnId="{143B788D-BF48-4F55-99BA-EDC193481971}">
      <dgm:prSet/>
      <dgm:spPr/>
      <dgm:t>
        <a:bodyPr/>
        <a:lstStyle/>
        <a:p>
          <a:endParaRPr lang="en-US"/>
        </a:p>
      </dgm:t>
    </dgm:pt>
    <dgm:pt modelId="{9A0D80F9-87E6-42E7-A129-E700F39AD315}" type="sibTrans" cxnId="{143B788D-BF48-4F55-99BA-EDC193481971}">
      <dgm:prSet/>
      <dgm:spPr/>
      <dgm:t>
        <a:bodyPr/>
        <a:lstStyle/>
        <a:p>
          <a:endParaRPr lang="en-US"/>
        </a:p>
      </dgm:t>
    </dgm:pt>
    <dgm:pt modelId="{03B2766D-B00B-46DE-859E-CB030A6B692D}">
      <dgm:prSet phldrT="[Text]"/>
      <dgm:spPr/>
      <dgm:t>
        <a:bodyPr/>
        <a:lstStyle/>
        <a:p>
          <a:r>
            <a:rPr lang="en-US"/>
            <a:t>Drive features</a:t>
          </a:r>
        </a:p>
      </dgm:t>
    </dgm:pt>
    <dgm:pt modelId="{115E4D05-C048-4C65-86E7-4A45299CF316}" type="parTrans" cxnId="{E778B675-6774-4609-96A7-F44040D2FE39}">
      <dgm:prSet/>
      <dgm:spPr/>
      <dgm:t>
        <a:bodyPr/>
        <a:lstStyle/>
        <a:p>
          <a:endParaRPr lang="en-US"/>
        </a:p>
      </dgm:t>
    </dgm:pt>
    <dgm:pt modelId="{93AEEBA1-6384-45C5-9809-C2545F687D47}" type="sibTrans" cxnId="{E778B675-6774-4609-96A7-F44040D2FE39}">
      <dgm:prSet/>
      <dgm:spPr/>
      <dgm:t>
        <a:bodyPr/>
        <a:lstStyle/>
        <a:p>
          <a:endParaRPr lang="en-US"/>
        </a:p>
      </dgm:t>
    </dgm:pt>
    <dgm:pt modelId="{FD24A803-D50B-4C9F-B4B7-4BF76B6A3817}">
      <dgm:prSet phldrT="[Text]"/>
      <dgm:spPr/>
      <dgm:t>
        <a:bodyPr/>
        <a:lstStyle/>
        <a:p>
          <a:r>
            <a:rPr lang="en-US"/>
            <a:t>Drive train?</a:t>
          </a:r>
          <a:br>
            <a:rPr lang="en-US"/>
          </a:br>
          <a:r>
            <a:rPr lang="en-US"/>
            <a:t>(4WD,AWD,FWD)</a:t>
          </a:r>
        </a:p>
      </dgm:t>
    </dgm:pt>
    <dgm:pt modelId="{69FAD7D4-18E5-4E0F-8FAA-53B552C84FD0}" type="parTrans" cxnId="{1008E105-5340-47F1-9938-F40879CD4987}">
      <dgm:prSet/>
      <dgm:spPr/>
      <dgm:t>
        <a:bodyPr/>
        <a:lstStyle/>
        <a:p>
          <a:endParaRPr lang="en-US"/>
        </a:p>
      </dgm:t>
    </dgm:pt>
    <dgm:pt modelId="{B0308AAD-40B0-4405-9D7C-365D86635F96}" type="sibTrans" cxnId="{1008E105-5340-47F1-9938-F40879CD4987}">
      <dgm:prSet/>
      <dgm:spPr/>
      <dgm:t>
        <a:bodyPr/>
        <a:lstStyle/>
        <a:p>
          <a:endParaRPr lang="en-US"/>
        </a:p>
      </dgm:t>
    </dgm:pt>
    <dgm:pt modelId="{79E86BC8-A3F6-47EF-A5FE-4CBB1C686F96}">
      <dgm:prSet phldrT="[Text]"/>
      <dgm:spPr/>
      <dgm:t>
        <a:bodyPr/>
        <a:lstStyle/>
        <a:p>
          <a:r>
            <a:rPr lang="en-US"/>
            <a:t>HP&gt;200 (HP)</a:t>
          </a:r>
        </a:p>
      </dgm:t>
    </dgm:pt>
    <dgm:pt modelId="{1B98EF0A-5133-4F8C-8147-CC6571285C84}" type="parTrans" cxnId="{AFC500F6-68A7-469E-AB8F-3195556B0489}">
      <dgm:prSet/>
      <dgm:spPr/>
      <dgm:t>
        <a:bodyPr/>
        <a:lstStyle/>
        <a:p>
          <a:endParaRPr lang="en-US"/>
        </a:p>
      </dgm:t>
    </dgm:pt>
    <dgm:pt modelId="{5E12166E-31F7-4506-98B8-17C166BEE965}" type="sibTrans" cxnId="{AFC500F6-68A7-469E-AB8F-3195556B0489}">
      <dgm:prSet/>
      <dgm:spPr/>
      <dgm:t>
        <a:bodyPr/>
        <a:lstStyle/>
        <a:p>
          <a:endParaRPr lang="en-US"/>
        </a:p>
      </dgm:t>
    </dgm:pt>
    <dgm:pt modelId="{029EFF84-DD8A-435C-AE0C-BD3165C397AA}">
      <dgm:prSet phldrT="[Text]"/>
      <dgm:spPr/>
      <dgm:t>
        <a:bodyPr/>
        <a:lstStyle/>
        <a:p>
          <a:r>
            <a:rPr lang="en-US"/>
            <a:t>Cruise Range</a:t>
          </a:r>
          <a:br>
            <a:rPr lang="en-US"/>
          </a:br>
          <a:r>
            <a:rPr lang="en-US"/>
            <a:t>(mile)</a:t>
          </a:r>
        </a:p>
      </dgm:t>
    </dgm:pt>
    <dgm:pt modelId="{611D67D0-421C-4C93-AD58-5AA6149A9C01}" type="parTrans" cxnId="{FEF21387-6615-43FD-A603-0E38BF922686}">
      <dgm:prSet/>
      <dgm:spPr/>
      <dgm:t>
        <a:bodyPr/>
        <a:lstStyle/>
        <a:p>
          <a:endParaRPr lang="en-US"/>
        </a:p>
      </dgm:t>
    </dgm:pt>
    <dgm:pt modelId="{AB7D8B22-270B-4153-9230-E2614D335C5D}" type="sibTrans" cxnId="{FEF21387-6615-43FD-A603-0E38BF922686}">
      <dgm:prSet/>
      <dgm:spPr/>
      <dgm:t>
        <a:bodyPr/>
        <a:lstStyle/>
        <a:p>
          <a:endParaRPr lang="en-US"/>
        </a:p>
      </dgm:t>
    </dgm:pt>
    <dgm:pt modelId="{B090FA82-89E9-4A3F-B33C-C8E675BCF537}">
      <dgm:prSet phldrT="[Text]"/>
      <dgm:spPr/>
      <dgm:t>
        <a:bodyPr/>
        <a:lstStyle/>
        <a:p>
          <a:r>
            <a:rPr lang="en-US"/>
            <a:t>Capacity</a:t>
          </a:r>
        </a:p>
      </dgm:t>
    </dgm:pt>
    <dgm:pt modelId="{D6CDD5F1-6C75-4594-BAE9-301EC1255FD5}" type="parTrans" cxnId="{C56429B3-B1F4-4D37-B74D-F77BE9C39CDC}">
      <dgm:prSet/>
      <dgm:spPr/>
      <dgm:t>
        <a:bodyPr/>
        <a:lstStyle/>
        <a:p>
          <a:endParaRPr lang="en-US"/>
        </a:p>
      </dgm:t>
    </dgm:pt>
    <dgm:pt modelId="{977A121D-5654-43C8-8A63-E39324838B14}" type="sibTrans" cxnId="{C56429B3-B1F4-4D37-B74D-F77BE9C39CDC}">
      <dgm:prSet/>
      <dgm:spPr/>
      <dgm:t>
        <a:bodyPr/>
        <a:lstStyle/>
        <a:p>
          <a:endParaRPr lang="en-US"/>
        </a:p>
      </dgm:t>
    </dgm:pt>
    <dgm:pt modelId="{A3E70474-DEF2-473F-89AD-15A9B86D692C}">
      <dgm:prSet phldrT="[Text]"/>
      <dgm:spPr/>
      <dgm:t>
        <a:bodyPr/>
        <a:lstStyle/>
        <a:p>
          <a:r>
            <a:rPr lang="en-US"/>
            <a:t>Cargo Volume (ft</a:t>
          </a:r>
          <a:r>
            <a:rPr lang="en-US" baseline="30000"/>
            <a:t>3</a:t>
          </a:r>
          <a:r>
            <a:rPr lang="en-US"/>
            <a:t>)</a:t>
          </a:r>
        </a:p>
      </dgm:t>
    </dgm:pt>
    <dgm:pt modelId="{8664E1A8-5E03-4E6E-A885-41049A681E6C}" type="parTrans" cxnId="{453F166A-A98B-4FF7-BE70-2285A772D306}">
      <dgm:prSet/>
      <dgm:spPr/>
      <dgm:t>
        <a:bodyPr/>
        <a:lstStyle/>
        <a:p>
          <a:endParaRPr lang="en-US"/>
        </a:p>
      </dgm:t>
    </dgm:pt>
    <dgm:pt modelId="{7DFB42E4-1597-47AF-8032-975AA803974B}" type="sibTrans" cxnId="{453F166A-A98B-4FF7-BE70-2285A772D306}">
      <dgm:prSet/>
      <dgm:spPr/>
      <dgm:t>
        <a:bodyPr/>
        <a:lstStyle/>
        <a:p>
          <a:endParaRPr lang="en-US"/>
        </a:p>
      </dgm:t>
    </dgm:pt>
    <dgm:pt modelId="{783FDC17-CDBB-443C-A2AD-9FA281A070CA}">
      <dgm:prSet phldrT="[Text]"/>
      <dgm:spPr/>
      <dgm:t>
        <a:bodyPr/>
        <a:lstStyle/>
        <a:p>
          <a:r>
            <a:rPr lang="en-US"/>
            <a:t>F.Leg room</a:t>
          </a:r>
        </a:p>
        <a:p>
          <a:r>
            <a:rPr lang="en-US"/>
            <a:t>(in)</a:t>
          </a:r>
        </a:p>
      </dgm:t>
    </dgm:pt>
    <dgm:pt modelId="{17DADB8B-DF7A-4BB2-9B85-462B4DE4271F}" type="parTrans" cxnId="{20AAA22B-5BAC-4EA7-A3CF-DB49D12D2FC1}">
      <dgm:prSet/>
      <dgm:spPr/>
      <dgm:t>
        <a:bodyPr/>
        <a:lstStyle/>
        <a:p>
          <a:endParaRPr lang="en-US"/>
        </a:p>
      </dgm:t>
    </dgm:pt>
    <dgm:pt modelId="{7DAA21AB-1E61-42D7-8D08-269250A8C059}" type="sibTrans" cxnId="{20AAA22B-5BAC-4EA7-A3CF-DB49D12D2FC1}">
      <dgm:prSet/>
      <dgm:spPr/>
      <dgm:t>
        <a:bodyPr/>
        <a:lstStyle/>
        <a:p>
          <a:endParaRPr lang="en-US"/>
        </a:p>
      </dgm:t>
    </dgm:pt>
    <dgm:pt modelId="{0DEFD330-B137-4DAA-A938-699E03C778EA}">
      <dgm:prSet phldrT="[Text]"/>
      <dgm:spPr/>
      <dgm:t>
        <a:bodyPr/>
        <a:lstStyle/>
        <a:p>
          <a:r>
            <a:rPr lang="en-US"/>
            <a:t>Passenger Capacity </a:t>
          </a:r>
          <a:br>
            <a:rPr lang="en-US"/>
          </a:br>
          <a:r>
            <a:rPr lang="en-US"/>
            <a:t>(# people)</a:t>
          </a:r>
        </a:p>
      </dgm:t>
    </dgm:pt>
    <dgm:pt modelId="{8DFC040B-0381-4C8C-9451-07E58F4CF923}" type="parTrans" cxnId="{77647B32-5FEC-480F-9FCB-ECA7F076959C}">
      <dgm:prSet/>
      <dgm:spPr/>
      <dgm:t>
        <a:bodyPr/>
        <a:lstStyle/>
        <a:p>
          <a:endParaRPr lang="en-US"/>
        </a:p>
      </dgm:t>
    </dgm:pt>
    <dgm:pt modelId="{85F0078F-47A0-4928-B33F-53A298445561}" type="sibTrans" cxnId="{77647B32-5FEC-480F-9FCB-ECA7F076959C}">
      <dgm:prSet/>
      <dgm:spPr/>
      <dgm:t>
        <a:bodyPr/>
        <a:lstStyle/>
        <a:p>
          <a:endParaRPr lang="en-US"/>
        </a:p>
      </dgm:t>
    </dgm:pt>
    <dgm:pt modelId="{AB1B3730-2782-4004-B682-5CC76763CCCA}">
      <dgm:prSet phldrT="[Text]"/>
      <dgm:spPr/>
      <dgm:t>
        <a:bodyPr/>
        <a:lstStyle/>
        <a:p>
          <a:r>
            <a:rPr lang="en-US"/>
            <a:t>Misc.</a:t>
          </a:r>
        </a:p>
      </dgm:t>
    </dgm:pt>
    <dgm:pt modelId="{2D07F186-CFD5-4108-B5E0-F458506A1C78}" type="parTrans" cxnId="{AFE1E1B5-A930-4DB3-B097-472FDD019FC8}">
      <dgm:prSet/>
      <dgm:spPr/>
      <dgm:t>
        <a:bodyPr/>
        <a:lstStyle/>
        <a:p>
          <a:endParaRPr lang="en-US"/>
        </a:p>
      </dgm:t>
    </dgm:pt>
    <dgm:pt modelId="{8D728838-A97F-424F-847A-E5DD76ADB8B3}" type="sibTrans" cxnId="{AFE1E1B5-A930-4DB3-B097-472FDD019FC8}">
      <dgm:prSet/>
      <dgm:spPr/>
      <dgm:t>
        <a:bodyPr/>
        <a:lstStyle/>
        <a:p>
          <a:endParaRPr lang="en-US"/>
        </a:p>
      </dgm:t>
    </dgm:pt>
    <dgm:pt modelId="{01322BD9-D15F-4A16-8C20-5622BD08C12D}">
      <dgm:prSet phldrT="[Text]"/>
      <dgm:spPr/>
      <dgm:t>
        <a:bodyPr/>
        <a:lstStyle/>
        <a:p>
          <a:r>
            <a:rPr lang="en-US"/>
            <a:t>Year</a:t>
          </a:r>
        </a:p>
      </dgm:t>
    </dgm:pt>
    <dgm:pt modelId="{76E69C2A-FFC8-4443-966C-C26B375E2A8A}" type="parTrans" cxnId="{09646B63-7A25-46F6-9A4F-4320B4015A48}">
      <dgm:prSet/>
      <dgm:spPr/>
      <dgm:t>
        <a:bodyPr/>
        <a:lstStyle/>
        <a:p>
          <a:endParaRPr lang="en-US"/>
        </a:p>
      </dgm:t>
    </dgm:pt>
    <dgm:pt modelId="{AA1A8335-A725-4ABF-84F9-527789472F6E}" type="sibTrans" cxnId="{09646B63-7A25-46F6-9A4F-4320B4015A48}">
      <dgm:prSet/>
      <dgm:spPr/>
      <dgm:t>
        <a:bodyPr/>
        <a:lstStyle/>
        <a:p>
          <a:endParaRPr lang="en-US"/>
        </a:p>
      </dgm:t>
    </dgm:pt>
    <dgm:pt modelId="{C51AEA4E-8C15-44EA-84D0-E7D1E90A0141}">
      <dgm:prSet phldrT="[Text]"/>
      <dgm:spPr/>
      <dgm:t>
        <a:bodyPr/>
        <a:lstStyle/>
        <a:p>
          <a:r>
            <a:rPr lang="en-US"/>
            <a:t>Price</a:t>
          </a:r>
        </a:p>
      </dgm:t>
    </dgm:pt>
    <dgm:pt modelId="{806F4020-5633-4A1C-A202-81D7786B991F}" type="parTrans" cxnId="{74C70DB5-32D1-45F3-B404-0CED57C45371}">
      <dgm:prSet/>
      <dgm:spPr/>
      <dgm:t>
        <a:bodyPr/>
        <a:lstStyle/>
        <a:p>
          <a:endParaRPr lang="en-US"/>
        </a:p>
      </dgm:t>
    </dgm:pt>
    <dgm:pt modelId="{32103476-D6B6-402D-8C3D-26AE74D1AF69}" type="sibTrans" cxnId="{74C70DB5-32D1-45F3-B404-0CED57C45371}">
      <dgm:prSet/>
      <dgm:spPr/>
      <dgm:t>
        <a:bodyPr/>
        <a:lstStyle/>
        <a:p>
          <a:endParaRPr lang="en-US"/>
        </a:p>
      </dgm:t>
    </dgm:pt>
    <dgm:pt modelId="{A32420D6-36E1-46A4-852B-F224EAE3F011}">
      <dgm:prSet phldrT="[Text]"/>
      <dgm:spPr/>
      <dgm:t>
        <a:bodyPr/>
        <a:lstStyle/>
        <a:p>
          <a:r>
            <a:rPr lang="en-US"/>
            <a:t>KBB Average Price</a:t>
          </a:r>
        </a:p>
      </dgm:t>
    </dgm:pt>
    <dgm:pt modelId="{07717C49-6FB4-47BB-AFBA-B38DC37C1859}" type="parTrans" cxnId="{82C8C77B-D47E-4F13-889A-88B2A3AC0551}">
      <dgm:prSet/>
      <dgm:spPr/>
      <dgm:t>
        <a:bodyPr/>
        <a:lstStyle/>
        <a:p>
          <a:endParaRPr lang="en-US"/>
        </a:p>
      </dgm:t>
    </dgm:pt>
    <dgm:pt modelId="{ACDB4381-C3DF-493F-8EEC-FBAEB04C6104}" type="sibTrans" cxnId="{82C8C77B-D47E-4F13-889A-88B2A3AC0551}">
      <dgm:prSet/>
      <dgm:spPr/>
      <dgm:t>
        <a:bodyPr/>
        <a:lstStyle/>
        <a:p>
          <a:endParaRPr lang="en-US"/>
        </a:p>
      </dgm:t>
    </dgm:pt>
    <dgm:pt modelId="{1238D140-43FC-4451-8C04-513B17A582FB}" type="pres">
      <dgm:prSet presAssocID="{1A3C5B9C-DDB1-404E-9371-688437EEC9A3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FB59589E-E7EC-4FF7-A887-B99CE7BBAFE0}" type="pres">
      <dgm:prSet presAssocID="{A3DFA7A1-764C-474B-B0D4-3DF0EB93137D}" presName="hierRoot1" presStyleCnt="0">
        <dgm:presLayoutVars>
          <dgm:hierBranch val="init"/>
        </dgm:presLayoutVars>
      </dgm:prSet>
      <dgm:spPr/>
    </dgm:pt>
    <dgm:pt modelId="{149F2368-720C-4098-8908-BE75BDB7D3F6}" type="pres">
      <dgm:prSet presAssocID="{A3DFA7A1-764C-474B-B0D4-3DF0EB93137D}" presName="rootComposite1" presStyleCnt="0"/>
      <dgm:spPr/>
    </dgm:pt>
    <dgm:pt modelId="{3BF9615F-CF5E-42D0-ACE8-DF0068C7A2B9}" type="pres">
      <dgm:prSet presAssocID="{A3DFA7A1-764C-474B-B0D4-3DF0EB93137D}" presName="rootText1" presStyleLbl="node0" presStyleIdx="0" presStyleCnt="1" custScaleX="190597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BA9E7D27-EBFC-4B15-ACBE-056E84507A49}" type="pres">
      <dgm:prSet presAssocID="{A3DFA7A1-764C-474B-B0D4-3DF0EB93137D}" presName="rootConnector1" presStyleLbl="node1" presStyleIdx="0" presStyleCnt="0"/>
      <dgm:spPr/>
      <dgm:t>
        <a:bodyPr/>
        <a:lstStyle/>
        <a:p>
          <a:endParaRPr lang="en-US"/>
        </a:p>
      </dgm:t>
    </dgm:pt>
    <dgm:pt modelId="{BAB3B760-596C-4FD7-B06B-9B544F176B7E}" type="pres">
      <dgm:prSet presAssocID="{A3DFA7A1-764C-474B-B0D4-3DF0EB93137D}" presName="hierChild2" presStyleCnt="0"/>
      <dgm:spPr/>
    </dgm:pt>
    <dgm:pt modelId="{4B5B732E-3C11-4F1F-8327-CCB8DD7885C0}" type="pres">
      <dgm:prSet presAssocID="{99F306E7-B961-4136-A257-0433EBF1C621}" presName="Name37" presStyleLbl="parChTrans1D2" presStyleIdx="0" presStyleCnt="4"/>
      <dgm:spPr/>
      <dgm:t>
        <a:bodyPr/>
        <a:lstStyle/>
        <a:p>
          <a:endParaRPr lang="en-US"/>
        </a:p>
      </dgm:t>
    </dgm:pt>
    <dgm:pt modelId="{241A5F71-7505-4E7D-864F-53326A28A167}" type="pres">
      <dgm:prSet presAssocID="{61D60A39-E0D3-4406-A610-4F67E620C80C}" presName="hierRoot2" presStyleCnt="0">
        <dgm:presLayoutVars>
          <dgm:hierBranch val="init"/>
        </dgm:presLayoutVars>
      </dgm:prSet>
      <dgm:spPr/>
    </dgm:pt>
    <dgm:pt modelId="{A0F5BDFE-5394-4B26-A0E7-53993EEF0939}" type="pres">
      <dgm:prSet presAssocID="{61D60A39-E0D3-4406-A610-4F67E620C80C}" presName="rootComposite" presStyleCnt="0"/>
      <dgm:spPr/>
    </dgm:pt>
    <dgm:pt modelId="{1922EED1-1FD5-49E0-85D6-796288145450}" type="pres">
      <dgm:prSet presAssocID="{61D60A39-E0D3-4406-A610-4F67E620C80C}" presName="rootText" presStyleLbl="node2" presStyleIdx="0" presStyleCnt="4" custScaleX="133527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F3719CA2-F7E8-443E-BEFD-2545AC2350F4}" type="pres">
      <dgm:prSet presAssocID="{61D60A39-E0D3-4406-A610-4F67E620C80C}" presName="rootConnector" presStyleLbl="node2" presStyleIdx="0" presStyleCnt="4"/>
      <dgm:spPr/>
      <dgm:t>
        <a:bodyPr/>
        <a:lstStyle/>
        <a:p>
          <a:endParaRPr lang="en-US"/>
        </a:p>
      </dgm:t>
    </dgm:pt>
    <dgm:pt modelId="{86BDD4F1-1E82-4936-B593-E24D26FA16E9}" type="pres">
      <dgm:prSet presAssocID="{61D60A39-E0D3-4406-A610-4F67E620C80C}" presName="hierChild4" presStyleCnt="0"/>
      <dgm:spPr/>
    </dgm:pt>
    <dgm:pt modelId="{4E729864-9732-46A2-8955-878D6EB53D9C}" type="pres">
      <dgm:prSet presAssocID="{071E5E0E-C1E9-4E3D-9785-C92656DBF2B8}" presName="Name37" presStyleLbl="parChTrans1D3" presStyleIdx="0" presStyleCnt="10"/>
      <dgm:spPr/>
      <dgm:t>
        <a:bodyPr/>
        <a:lstStyle/>
        <a:p>
          <a:endParaRPr lang="en-US"/>
        </a:p>
      </dgm:t>
    </dgm:pt>
    <dgm:pt modelId="{4E5340FA-9634-4E68-8354-9556CDC1A638}" type="pres">
      <dgm:prSet presAssocID="{BDFC517F-AB05-4DF9-A8D5-608C2A440C56}" presName="hierRoot2" presStyleCnt="0">
        <dgm:presLayoutVars>
          <dgm:hierBranch val="init"/>
        </dgm:presLayoutVars>
      </dgm:prSet>
      <dgm:spPr/>
    </dgm:pt>
    <dgm:pt modelId="{FB4C39D0-C11E-404C-B5A3-760417A9EA52}" type="pres">
      <dgm:prSet presAssocID="{BDFC517F-AB05-4DF9-A8D5-608C2A440C56}" presName="rootComposite" presStyleCnt="0"/>
      <dgm:spPr/>
    </dgm:pt>
    <dgm:pt modelId="{D12AAFD6-B2D7-4E6C-9674-6C34F17D6ED3}" type="pres">
      <dgm:prSet presAssocID="{BDFC517F-AB05-4DF9-A8D5-608C2A440C56}" presName="rootText" presStyleLbl="node3" presStyleIdx="0" presStyleCnt="1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C20AFA33-57D7-4591-A192-A1C1D564B610}" type="pres">
      <dgm:prSet presAssocID="{BDFC517F-AB05-4DF9-A8D5-608C2A440C56}" presName="rootConnector" presStyleLbl="node3" presStyleIdx="0" presStyleCnt="10"/>
      <dgm:spPr/>
      <dgm:t>
        <a:bodyPr/>
        <a:lstStyle/>
        <a:p>
          <a:endParaRPr lang="en-US"/>
        </a:p>
      </dgm:t>
    </dgm:pt>
    <dgm:pt modelId="{0D18B661-724A-4C6C-A3AB-5386BE82E2F7}" type="pres">
      <dgm:prSet presAssocID="{BDFC517F-AB05-4DF9-A8D5-608C2A440C56}" presName="hierChild4" presStyleCnt="0"/>
      <dgm:spPr/>
    </dgm:pt>
    <dgm:pt modelId="{D0DD2F95-F82E-4277-AC3B-0F987D8B3C11}" type="pres">
      <dgm:prSet presAssocID="{BDFC517F-AB05-4DF9-A8D5-608C2A440C56}" presName="hierChild5" presStyleCnt="0"/>
      <dgm:spPr/>
    </dgm:pt>
    <dgm:pt modelId="{D2EC7EDE-1A1B-4821-B292-E42D27E2B8E1}" type="pres">
      <dgm:prSet presAssocID="{611D67D0-421C-4C93-AD58-5AA6149A9C01}" presName="Name37" presStyleLbl="parChTrans1D3" presStyleIdx="1" presStyleCnt="10"/>
      <dgm:spPr/>
      <dgm:t>
        <a:bodyPr/>
        <a:lstStyle/>
        <a:p>
          <a:endParaRPr lang="en-US"/>
        </a:p>
      </dgm:t>
    </dgm:pt>
    <dgm:pt modelId="{E85FA2A5-F989-4206-9B20-83B5B8826529}" type="pres">
      <dgm:prSet presAssocID="{029EFF84-DD8A-435C-AE0C-BD3165C397AA}" presName="hierRoot2" presStyleCnt="0">
        <dgm:presLayoutVars>
          <dgm:hierBranch val="init"/>
        </dgm:presLayoutVars>
      </dgm:prSet>
      <dgm:spPr/>
    </dgm:pt>
    <dgm:pt modelId="{D0B492E7-AF54-4B80-80C5-1236AADACF98}" type="pres">
      <dgm:prSet presAssocID="{029EFF84-DD8A-435C-AE0C-BD3165C397AA}" presName="rootComposite" presStyleCnt="0"/>
      <dgm:spPr/>
    </dgm:pt>
    <dgm:pt modelId="{FE94A82E-51D4-4AD2-AC60-68F8D2507BE3}" type="pres">
      <dgm:prSet presAssocID="{029EFF84-DD8A-435C-AE0C-BD3165C397AA}" presName="rootText" presStyleLbl="node3" presStyleIdx="1" presStyleCnt="10" custScaleX="12890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642447DA-C04B-4E42-AAB9-8B05CB6593F0}" type="pres">
      <dgm:prSet presAssocID="{029EFF84-DD8A-435C-AE0C-BD3165C397AA}" presName="rootConnector" presStyleLbl="node3" presStyleIdx="1" presStyleCnt="10"/>
      <dgm:spPr/>
      <dgm:t>
        <a:bodyPr/>
        <a:lstStyle/>
        <a:p>
          <a:endParaRPr lang="en-US"/>
        </a:p>
      </dgm:t>
    </dgm:pt>
    <dgm:pt modelId="{F4A647BC-08ED-4A6E-B2F4-26B2169FEC36}" type="pres">
      <dgm:prSet presAssocID="{029EFF84-DD8A-435C-AE0C-BD3165C397AA}" presName="hierChild4" presStyleCnt="0"/>
      <dgm:spPr/>
    </dgm:pt>
    <dgm:pt modelId="{06B6C4D2-5896-4DEF-8713-A23B6D9A0B11}" type="pres">
      <dgm:prSet presAssocID="{029EFF84-DD8A-435C-AE0C-BD3165C397AA}" presName="hierChild5" presStyleCnt="0"/>
      <dgm:spPr/>
    </dgm:pt>
    <dgm:pt modelId="{BC94AD71-CA97-4608-9A96-087EA8B7CA8D}" type="pres">
      <dgm:prSet presAssocID="{61D60A39-E0D3-4406-A610-4F67E620C80C}" presName="hierChild5" presStyleCnt="0"/>
      <dgm:spPr/>
    </dgm:pt>
    <dgm:pt modelId="{652CC8FB-56CF-44BD-9C9B-0192BE5512F5}" type="pres">
      <dgm:prSet presAssocID="{75278729-7E85-4C07-B9BB-4A3C1F515EA8}" presName="Name37" presStyleLbl="parChTrans1D2" presStyleIdx="1" presStyleCnt="4"/>
      <dgm:spPr/>
      <dgm:t>
        <a:bodyPr/>
        <a:lstStyle/>
        <a:p>
          <a:endParaRPr lang="en-US"/>
        </a:p>
      </dgm:t>
    </dgm:pt>
    <dgm:pt modelId="{3041D4B0-9369-465B-8D57-5CE95A37FD14}" type="pres">
      <dgm:prSet presAssocID="{39D9D838-F72E-4615-AC38-7475BBA4BF10}" presName="hierRoot2" presStyleCnt="0">
        <dgm:presLayoutVars>
          <dgm:hierBranch val="init"/>
        </dgm:presLayoutVars>
      </dgm:prSet>
      <dgm:spPr/>
    </dgm:pt>
    <dgm:pt modelId="{93C7EFF8-E3AF-4327-845A-AC18AEA25A93}" type="pres">
      <dgm:prSet presAssocID="{39D9D838-F72E-4615-AC38-7475BBA4BF10}" presName="rootComposite" presStyleCnt="0"/>
      <dgm:spPr/>
    </dgm:pt>
    <dgm:pt modelId="{6F45DB3F-0556-45C9-8C31-59C65DA2AA70}" type="pres">
      <dgm:prSet presAssocID="{39D9D838-F72E-4615-AC38-7475BBA4BF10}" presName="rootText" presStyleLbl="node2" presStyleIdx="1" presStyleCnt="4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12399A31-5E54-4C8E-8C8B-37DEF364D7F0}" type="pres">
      <dgm:prSet presAssocID="{39D9D838-F72E-4615-AC38-7475BBA4BF10}" presName="rootConnector" presStyleLbl="node2" presStyleIdx="1" presStyleCnt="4"/>
      <dgm:spPr/>
      <dgm:t>
        <a:bodyPr/>
        <a:lstStyle/>
        <a:p>
          <a:endParaRPr lang="en-US"/>
        </a:p>
      </dgm:t>
    </dgm:pt>
    <dgm:pt modelId="{4DC68347-81B9-4F35-B40D-6BF7887668FA}" type="pres">
      <dgm:prSet presAssocID="{39D9D838-F72E-4615-AC38-7475BBA4BF10}" presName="hierChild4" presStyleCnt="0"/>
      <dgm:spPr/>
    </dgm:pt>
    <dgm:pt modelId="{55CB5CD9-BCDB-42BD-966A-3AED8A0EA9E6}" type="pres">
      <dgm:prSet presAssocID="{D6CDD5F1-6C75-4594-BAE9-301EC1255FD5}" presName="Name37" presStyleLbl="parChTrans1D3" presStyleIdx="2" presStyleCnt="10"/>
      <dgm:spPr/>
      <dgm:t>
        <a:bodyPr/>
        <a:lstStyle/>
        <a:p>
          <a:endParaRPr lang="en-US"/>
        </a:p>
      </dgm:t>
    </dgm:pt>
    <dgm:pt modelId="{6B7E1796-01CA-49A7-AEF6-EF1DE015FDC2}" type="pres">
      <dgm:prSet presAssocID="{B090FA82-89E9-4A3F-B33C-C8E675BCF537}" presName="hierRoot2" presStyleCnt="0">
        <dgm:presLayoutVars>
          <dgm:hierBranch val="init"/>
        </dgm:presLayoutVars>
      </dgm:prSet>
      <dgm:spPr/>
    </dgm:pt>
    <dgm:pt modelId="{6F431EB7-B8FF-4FA1-AEB2-F528169211EB}" type="pres">
      <dgm:prSet presAssocID="{B090FA82-89E9-4A3F-B33C-C8E675BCF537}" presName="rootComposite" presStyleCnt="0"/>
      <dgm:spPr/>
    </dgm:pt>
    <dgm:pt modelId="{BCEC5F52-F569-44E9-9ED4-60EC00F58C3F}" type="pres">
      <dgm:prSet presAssocID="{B090FA82-89E9-4A3F-B33C-C8E675BCF537}" presName="rootText" presStyleLbl="node3" presStyleIdx="2" presStyleCnt="1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E063D930-98F4-40AD-A68E-D8FEE920FA8C}" type="pres">
      <dgm:prSet presAssocID="{B090FA82-89E9-4A3F-B33C-C8E675BCF537}" presName="rootConnector" presStyleLbl="node3" presStyleIdx="2" presStyleCnt="10"/>
      <dgm:spPr/>
      <dgm:t>
        <a:bodyPr/>
        <a:lstStyle/>
        <a:p>
          <a:endParaRPr lang="en-US"/>
        </a:p>
      </dgm:t>
    </dgm:pt>
    <dgm:pt modelId="{804F6A28-14D7-414A-9107-9E65082A67DC}" type="pres">
      <dgm:prSet presAssocID="{B090FA82-89E9-4A3F-B33C-C8E675BCF537}" presName="hierChild4" presStyleCnt="0"/>
      <dgm:spPr/>
    </dgm:pt>
    <dgm:pt modelId="{606BDBBB-67A7-47D0-8713-3064D6764B24}" type="pres">
      <dgm:prSet presAssocID="{8664E1A8-5E03-4E6E-A885-41049A681E6C}" presName="Name37" presStyleLbl="parChTrans1D4" presStyleIdx="0" presStyleCnt="8"/>
      <dgm:spPr/>
      <dgm:t>
        <a:bodyPr/>
        <a:lstStyle/>
        <a:p>
          <a:endParaRPr lang="en-US"/>
        </a:p>
      </dgm:t>
    </dgm:pt>
    <dgm:pt modelId="{4A9236E4-5065-490B-BBE3-835DC1CD6C53}" type="pres">
      <dgm:prSet presAssocID="{A3E70474-DEF2-473F-89AD-15A9B86D692C}" presName="hierRoot2" presStyleCnt="0">
        <dgm:presLayoutVars>
          <dgm:hierBranch val="init"/>
        </dgm:presLayoutVars>
      </dgm:prSet>
      <dgm:spPr/>
    </dgm:pt>
    <dgm:pt modelId="{3CAA11F4-5C55-47D8-AC30-0E08EA4C581A}" type="pres">
      <dgm:prSet presAssocID="{A3E70474-DEF2-473F-89AD-15A9B86D692C}" presName="rootComposite" presStyleCnt="0"/>
      <dgm:spPr/>
    </dgm:pt>
    <dgm:pt modelId="{435732D9-52DB-49A4-95E2-2908D73CCD35}" type="pres">
      <dgm:prSet presAssocID="{A3E70474-DEF2-473F-89AD-15A9B86D692C}" presName="rootText" presStyleLbl="node4" presStyleIdx="0" presStyleCnt="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C48AACFC-C511-4E2C-A382-C56D552E675B}" type="pres">
      <dgm:prSet presAssocID="{A3E70474-DEF2-473F-89AD-15A9B86D692C}" presName="rootConnector" presStyleLbl="node4" presStyleIdx="0" presStyleCnt="8"/>
      <dgm:spPr/>
      <dgm:t>
        <a:bodyPr/>
        <a:lstStyle/>
        <a:p>
          <a:endParaRPr lang="en-US"/>
        </a:p>
      </dgm:t>
    </dgm:pt>
    <dgm:pt modelId="{D950820E-1574-4BA4-ADFE-811A635845AD}" type="pres">
      <dgm:prSet presAssocID="{A3E70474-DEF2-473F-89AD-15A9B86D692C}" presName="hierChild4" presStyleCnt="0"/>
      <dgm:spPr/>
    </dgm:pt>
    <dgm:pt modelId="{0D0F7848-375B-4D6B-B26A-BE78B014FF47}" type="pres">
      <dgm:prSet presAssocID="{A3E70474-DEF2-473F-89AD-15A9B86D692C}" presName="hierChild5" presStyleCnt="0"/>
      <dgm:spPr/>
    </dgm:pt>
    <dgm:pt modelId="{5759F696-9D69-45CE-995D-8B6CB1314C82}" type="pres">
      <dgm:prSet presAssocID="{17DADB8B-DF7A-4BB2-9B85-462B4DE4271F}" presName="Name37" presStyleLbl="parChTrans1D4" presStyleIdx="1" presStyleCnt="8"/>
      <dgm:spPr/>
      <dgm:t>
        <a:bodyPr/>
        <a:lstStyle/>
        <a:p>
          <a:endParaRPr lang="en-US"/>
        </a:p>
      </dgm:t>
    </dgm:pt>
    <dgm:pt modelId="{11BE6C6D-F7D0-4CC6-8C73-7460168A25B0}" type="pres">
      <dgm:prSet presAssocID="{783FDC17-CDBB-443C-A2AD-9FA281A070CA}" presName="hierRoot2" presStyleCnt="0">
        <dgm:presLayoutVars>
          <dgm:hierBranch val="init"/>
        </dgm:presLayoutVars>
      </dgm:prSet>
      <dgm:spPr/>
    </dgm:pt>
    <dgm:pt modelId="{1CF62C20-33CD-4236-8BB3-ADF07AC48277}" type="pres">
      <dgm:prSet presAssocID="{783FDC17-CDBB-443C-A2AD-9FA281A070CA}" presName="rootComposite" presStyleCnt="0"/>
      <dgm:spPr/>
    </dgm:pt>
    <dgm:pt modelId="{F85AC64A-FDD5-4756-85ED-A62A9412C535}" type="pres">
      <dgm:prSet presAssocID="{783FDC17-CDBB-443C-A2AD-9FA281A070CA}" presName="rootText" presStyleLbl="node4" presStyleIdx="1" presStyleCnt="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9FE4EC48-F04A-4E22-A30A-53095A6A9342}" type="pres">
      <dgm:prSet presAssocID="{783FDC17-CDBB-443C-A2AD-9FA281A070CA}" presName="rootConnector" presStyleLbl="node4" presStyleIdx="1" presStyleCnt="8"/>
      <dgm:spPr/>
      <dgm:t>
        <a:bodyPr/>
        <a:lstStyle/>
        <a:p>
          <a:endParaRPr lang="en-US"/>
        </a:p>
      </dgm:t>
    </dgm:pt>
    <dgm:pt modelId="{E835C2B2-3B8B-4627-82C7-FB6AA3869556}" type="pres">
      <dgm:prSet presAssocID="{783FDC17-CDBB-443C-A2AD-9FA281A070CA}" presName="hierChild4" presStyleCnt="0"/>
      <dgm:spPr/>
    </dgm:pt>
    <dgm:pt modelId="{FD09D679-551F-4ADA-B47A-863D6A8AEBA7}" type="pres">
      <dgm:prSet presAssocID="{783FDC17-CDBB-443C-A2AD-9FA281A070CA}" presName="hierChild5" presStyleCnt="0"/>
      <dgm:spPr/>
    </dgm:pt>
    <dgm:pt modelId="{CD7F8F63-CBDF-415E-821F-8148D125DB90}" type="pres">
      <dgm:prSet presAssocID="{8DFC040B-0381-4C8C-9451-07E58F4CF923}" presName="Name37" presStyleLbl="parChTrans1D4" presStyleIdx="2" presStyleCnt="8"/>
      <dgm:spPr/>
      <dgm:t>
        <a:bodyPr/>
        <a:lstStyle/>
        <a:p>
          <a:endParaRPr lang="en-US"/>
        </a:p>
      </dgm:t>
    </dgm:pt>
    <dgm:pt modelId="{C10FBD43-11CA-4EF8-819C-AB60814A3E65}" type="pres">
      <dgm:prSet presAssocID="{0DEFD330-B137-4DAA-A938-699E03C778EA}" presName="hierRoot2" presStyleCnt="0">
        <dgm:presLayoutVars>
          <dgm:hierBranch val="init"/>
        </dgm:presLayoutVars>
      </dgm:prSet>
      <dgm:spPr/>
    </dgm:pt>
    <dgm:pt modelId="{B60ABD73-1BA2-4194-BF81-8F3408122ECF}" type="pres">
      <dgm:prSet presAssocID="{0DEFD330-B137-4DAA-A938-699E03C778EA}" presName="rootComposite" presStyleCnt="0"/>
      <dgm:spPr/>
    </dgm:pt>
    <dgm:pt modelId="{3E76C5F4-F02D-454F-80E6-E9E86BB8FB9F}" type="pres">
      <dgm:prSet presAssocID="{0DEFD330-B137-4DAA-A938-699E03C778EA}" presName="rootText" presStyleLbl="node4" presStyleIdx="2" presStyleCnt="8" custScaleY="127741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FAF1AC40-16AC-4487-83CA-4B4F5A6487CF}" type="pres">
      <dgm:prSet presAssocID="{0DEFD330-B137-4DAA-A938-699E03C778EA}" presName="rootConnector" presStyleLbl="node4" presStyleIdx="2" presStyleCnt="8"/>
      <dgm:spPr/>
      <dgm:t>
        <a:bodyPr/>
        <a:lstStyle/>
        <a:p>
          <a:endParaRPr lang="en-US"/>
        </a:p>
      </dgm:t>
    </dgm:pt>
    <dgm:pt modelId="{3736E81D-7EE2-42C8-B8D3-6C694653CE24}" type="pres">
      <dgm:prSet presAssocID="{0DEFD330-B137-4DAA-A938-699E03C778EA}" presName="hierChild4" presStyleCnt="0"/>
      <dgm:spPr/>
    </dgm:pt>
    <dgm:pt modelId="{15EEB63F-4F05-4373-B5D5-B91746BBC1B8}" type="pres">
      <dgm:prSet presAssocID="{0DEFD330-B137-4DAA-A938-699E03C778EA}" presName="hierChild5" presStyleCnt="0"/>
      <dgm:spPr/>
    </dgm:pt>
    <dgm:pt modelId="{9B1C66E5-22FC-4305-A3A4-203658435588}" type="pres">
      <dgm:prSet presAssocID="{B090FA82-89E9-4A3F-B33C-C8E675BCF537}" presName="hierChild5" presStyleCnt="0"/>
      <dgm:spPr/>
    </dgm:pt>
    <dgm:pt modelId="{987C19A6-4A00-48A8-B138-8BE57D64A781}" type="pres">
      <dgm:prSet presAssocID="{115E4D05-C048-4C65-86E7-4A45299CF316}" presName="Name37" presStyleLbl="parChTrans1D3" presStyleIdx="3" presStyleCnt="10"/>
      <dgm:spPr/>
      <dgm:t>
        <a:bodyPr/>
        <a:lstStyle/>
        <a:p>
          <a:endParaRPr lang="en-US"/>
        </a:p>
      </dgm:t>
    </dgm:pt>
    <dgm:pt modelId="{2AFD9E38-91D8-4986-B4A1-A5414103C857}" type="pres">
      <dgm:prSet presAssocID="{03B2766D-B00B-46DE-859E-CB030A6B692D}" presName="hierRoot2" presStyleCnt="0">
        <dgm:presLayoutVars>
          <dgm:hierBranch val="init"/>
        </dgm:presLayoutVars>
      </dgm:prSet>
      <dgm:spPr/>
    </dgm:pt>
    <dgm:pt modelId="{F5AB4051-8AB8-447B-9D97-762C522F2C20}" type="pres">
      <dgm:prSet presAssocID="{03B2766D-B00B-46DE-859E-CB030A6B692D}" presName="rootComposite" presStyleCnt="0"/>
      <dgm:spPr/>
    </dgm:pt>
    <dgm:pt modelId="{C5EC8F6A-5BBF-44C7-824D-DA33B406F423}" type="pres">
      <dgm:prSet presAssocID="{03B2766D-B00B-46DE-859E-CB030A6B692D}" presName="rootText" presStyleLbl="node3" presStyleIdx="3" presStyleCnt="1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D13F497C-8609-4CB0-BC8B-7E5B38BC2300}" type="pres">
      <dgm:prSet presAssocID="{03B2766D-B00B-46DE-859E-CB030A6B692D}" presName="rootConnector" presStyleLbl="node3" presStyleIdx="3" presStyleCnt="10"/>
      <dgm:spPr/>
      <dgm:t>
        <a:bodyPr/>
        <a:lstStyle/>
        <a:p>
          <a:endParaRPr lang="en-US"/>
        </a:p>
      </dgm:t>
    </dgm:pt>
    <dgm:pt modelId="{C9A0D69A-1BB5-4BAE-809C-D87E7203AC04}" type="pres">
      <dgm:prSet presAssocID="{03B2766D-B00B-46DE-859E-CB030A6B692D}" presName="hierChild4" presStyleCnt="0"/>
      <dgm:spPr/>
    </dgm:pt>
    <dgm:pt modelId="{8E85DF20-E63C-490A-B78B-E85B189001DD}" type="pres">
      <dgm:prSet presAssocID="{69FAD7D4-18E5-4E0F-8FAA-53B552C84FD0}" presName="Name37" presStyleLbl="parChTrans1D4" presStyleIdx="3" presStyleCnt="8"/>
      <dgm:spPr/>
      <dgm:t>
        <a:bodyPr/>
        <a:lstStyle/>
        <a:p>
          <a:endParaRPr lang="en-US"/>
        </a:p>
      </dgm:t>
    </dgm:pt>
    <dgm:pt modelId="{3198638A-8277-47AE-8984-5F21C4DF79B1}" type="pres">
      <dgm:prSet presAssocID="{FD24A803-D50B-4C9F-B4B7-4BF76B6A3817}" presName="hierRoot2" presStyleCnt="0">
        <dgm:presLayoutVars>
          <dgm:hierBranch val="init"/>
        </dgm:presLayoutVars>
      </dgm:prSet>
      <dgm:spPr/>
    </dgm:pt>
    <dgm:pt modelId="{01595044-A9C3-4480-9CCB-436ACE2B1762}" type="pres">
      <dgm:prSet presAssocID="{FD24A803-D50B-4C9F-B4B7-4BF76B6A3817}" presName="rootComposite" presStyleCnt="0"/>
      <dgm:spPr/>
    </dgm:pt>
    <dgm:pt modelId="{1DB5B43E-7BD2-48CB-9BB2-EDD0459A3E40}" type="pres">
      <dgm:prSet presAssocID="{FD24A803-D50B-4C9F-B4B7-4BF76B6A3817}" presName="rootText" presStyleLbl="node4" presStyleIdx="3" presStyleCnt="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557837BA-3C57-4E71-9C07-CEE27509793F}" type="pres">
      <dgm:prSet presAssocID="{FD24A803-D50B-4C9F-B4B7-4BF76B6A3817}" presName="rootConnector" presStyleLbl="node4" presStyleIdx="3" presStyleCnt="8"/>
      <dgm:spPr/>
      <dgm:t>
        <a:bodyPr/>
        <a:lstStyle/>
        <a:p>
          <a:endParaRPr lang="en-US"/>
        </a:p>
      </dgm:t>
    </dgm:pt>
    <dgm:pt modelId="{76FDBE50-E609-4A6B-B5E4-A3E7FB2E6F76}" type="pres">
      <dgm:prSet presAssocID="{FD24A803-D50B-4C9F-B4B7-4BF76B6A3817}" presName="hierChild4" presStyleCnt="0"/>
      <dgm:spPr/>
    </dgm:pt>
    <dgm:pt modelId="{89B5CD2D-8204-4532-BBAB-A8C53A775952}" type="pres">
      <dgm:prSet presAssocID="{FD24A803-D50B-4C9F-B4B7-4BF76B6A3817}" presName="hierChild5" presStyleCnt="0"/>
      <dgm:spPr/>
    </dgm:pt>
    <dgm:pt modelId="{FD422654-E334-4694-BF23-A9F6EA49B89A}" type="pres">
      <dgm:prSet presAssocID="{1B98EF0A-5133-4F8C-8147-CC6571285C84}" presName="Name37" presStyleLbl="parChTrans1D4" presStyleIdx="4" presStyleCnt="8"/>
      <dgm:spPr/>
      <dgm:t>
        <a:bodyPr/>
        <a:lstStyle/>
        <a:p>
          <a:endParaRPr lang="en-US"/>
        </a:p>
      </dgm:t>
    </dgm:pt>
    <dgm:pt modelId="{FCB654D9-5A8A-4138-97EE-C901CAACF2CF}" type="pres">
      <dgm:prSet presAssocID="{79E86BC8-A3F6-47EF-A5FE-4CBB1C686F96}" presName="hierRoot2" presStyleCnt="0">
        <dgm:presLayoutVars>
          <dgm:hierBranch val="init"/>
        </dgm:presLayoutVars>
      </dgm:prSet>
      <dgm:spPr/>
    </dgm:pt>
    <dgm:pt modelId="{E6AE4FE2-78DC-4866-B5B9-8F39DCCED097}" type="pres">
      <dgm:prSet presAssocID="{79E86BC8-A3F6-47EF-A5FE-4CBB1C686F96}" presName="rootComposite" presStyleCnt="0"/>
      <dgm:spPr/>
    </dgm:pt>
    <dgm:pt modelId="{05CF6281-B01F-4925-A308-F51761C7632F}" type="pres">
      <dgm:prSet presAssocID="{79E86BC8-A3F6-47EF-A5FE-4CBB1C686F96}" presName="rootText" presStyleLbl="node4" presStyleIdx="4" presStyleCnt="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F620F91B-0B4E-4EDE-9156-71713C6C83F1}" type="pres">
      <dgm:prSet presAssocID="{79E86BC8-A3F6-47EF-A5FE-4CBB1C686F96}" presName="rootConnector" presStyleLbl="node4" presStyleIdx="4" presStyleCnt="8"/>
      <dgm:spPr/>
      <dgm:t>
        <a:bodyPr/>
        <a:lstStyle/>
        <a:p>
          <a:endParaRPr lang="en-US"/>
        </a:p>
      </dgm:t>
    </dgm:pt>
    <dgm:pt modelId="{56679BF6-C4B2-4F54-8A82-608891969D0A}" type="pres">
      <dgm:prSet presAssocID="{79E86BC8-A3F6-47EF-A5FE-4CBB1C686F96}" presName="hierChild4" presStyleCnt="0"/>
      <dgm:spPr/>
    </dgm:pt>
    <dgm:pt modelId="{087B3907-CF3E-482B-8C3D-BEF0F4DA05F6}" type="pres">
      <dgm:prSet presAssocID="{79E86BC8-A3F6-47EF-A5FE-4CBB1C686F96}" presName="hierChild5" presStyleCnt="0"/>
      <dgm:spPr/>
    </dgm:pt>
    <dgm:pt modelId="{21EBCC79-7FBA-4367-976F-E0FEB5E7C694}" type="pres">
      <dgm:prSet presAssocID="{03B2766D-B00B-46DE-859E-CB030A6B692D}" presName="hierChild5" presStyleCnt="0"/>
      <dgm:spPr/>
    </dgm:pt>
    <dgm:pt modelId="{498C09F7-CCCF-4C5B-849E-D28906807E56}" type="pres">
      <dgm:prSet presAssocID="{8576D378-B33E-48A8-981E-E53A53B60005}" presName="Name37" presStyleLbl="parChTrans1D3" presStyleIdx="4" presStyleCnt="10"/>
      <dgm:spPr/>
      <dgm:t>
        <a:bodyPr/>
        <a:lstStyle/>
        <a:p>
          <a:endParaRPr lang="en-US"/>
        </a:p>
      </dgm:t>
    </dgm:pt>
    <dgm:pt modelId="{B3564B60-3F05-4B46-996F-9308C6EB20AD}" type="pres">
      <dgm:prSet presAssocID="{66D98AAE-9BCB-436C-B89D-1E7EE104E348}" presName="hierRoot2" presStyleCnt="0">
        <dgm:presLayoutVars>
          <dgm:hierBranch val="init"/>
        </dgm:presLayoutVars>
      </dgm:prSet>
      <dgm:spPr/>
    </dgm:pt>
    <dgm:pt modelId="{D20E1FEE-28C2-48E1-B029-826FF66CF106}" type="pres">
      <dgm:prSet presAssocID="{66D98AAE-9BCB-436C-B89D-1E7EE104E348}" presName="rootComposite" presStyleCnt="0"/>
      <dgm:spPr/>
    </dgm:pt>
    <dgm:pt modelId="{9C046EB8-5B26-46D5-B2F5-633E52D17648}" type="pres">
      <dgm:prSet presAssocID="{66D98AAE-9BCB-436C-B89D-1E7EE104E348}" presName="rootText" presStyleLbl="node3" presStyleIdx="4" presStyleCnt="1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38F560C6-0EE8-4B71-A89D-2DF9C8209DC0}" type="pres">
      <dgm:prSet presAssocID="{66D98AAE-9BCB-436C-B89D-1E7EE104E348}" presName="rootConnector" presStyleLbl="node3" presStyleIdx="4" presStyleCnt="10"/>
      <dgm:spPr/>
      <dgm:t>
        <a:bodyPr/>
        <a:lstStyle/>
        <a:p>
          <a:endParaRPr lang="en-US"/>
        </a:p>
      </dgm:t>
    </dgm:pt>
    <dgm:pt modelId="{394917C4-0528-4048-B1B9-6DF89718F02A}" type="pres">
      <dgm:prSet presAssocID="{66D98AAE-9BCB-436C-B89D-1E7EE104E348}" presName="hierChild4" presStyleCnt="0"/>
      <dgm:spPr/>
    </dgm:pt>
    <dgm:pt modelId="{01F114ED-FC5E-4410-8FFC-1559DDF942E2}" type="pres">
      <dgm:prSet presAssocID="{E46C61CF-3AD3-4724-BD8E-5FB00EF5BA9B}" presName="Name37" presStyleLbl="parChTrans1D4" presStyleIdx="5" presStyleCnt="8"/>
      <dgm:spPr/>
      <dgm:t>
        <a:bodyPr/>
        <a:lstStyle/>
        <a:p>
          <a:endParaRPr lang="en-US"/>
        </a:p>
      </dgm:t>
    </dgm:pt>
    <dgm:pt modelId="{76E1E450-B082-47F2-9097-35CBC3AC4F3A}" type="pres">
      <dgm:prSet presAssocID="{765C8C11-88A9-4F34-A551-6847125F54FD}" presName="hierRoot2" presStyleCnt="0">
        <dgm:presLayoutVars>
          <dgm:hierBranch val="init"/>
        </dgm:presLayoutVars>
      </dgm:prSet>
      <dgm:spPr/>
    </dgm:pt>
    <dgm:pt modelId="{943D6C8E-9261-436D-AD56-0F868899C75D}" type="pres">
      <dgm:prSet presAssocID="{765C8C11-88A9-4F34-A551-6847125F54FD}" presName="rootComposite" presStyleCnt="0"/>
      <dgm:spPr/>
    </dgm:pt>
    <dgm:pt modelId="{455BCEAE-97F5-4F9A-81A7-1F63D082EC6A}" type="pres">
      <dgm:prSet presAssocID="{765C8C11-88A9-4F34-A551-6847125F54FD}" presName="rootText" presStyleLbl="node4" presStyleIdx="5" presStyleCnt="8" custScaleX="121807" custScaleY="131409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87BA7C31-E3E0-4084-8B6D-C283069CB1F0}" type="pres">
      <dgm:prSet presAssocID="{765C8C11-88A9-4F34-A551-6847125F54FD}" presName="rootConnector" presStyleLbl="node4" presStyleIdx="5" presStyleCnt="8"/>
      <dgm:spPr/>
      <dgm:t>
        <a:bodyPr/>
        <a:lstStyle/>
        <a:p>
          <a:endParaRPr lang="en-US"/>
        </a:p>
      </dgm:t>
    </dgm:pt>
    <dgm:pt modelId="{7DB649E6-D1DC-498C-B569-6D2A12478DD7}" type="pres">
      <dgm:prSet presAssocID="{765C8C11-88A9-4F34-A551-6847125F54FD}" presName="hierChild4" presStyleCnt="0"/>
      <dgm:spPr/>
    </dgm:pt>
    <dgm:pt modelId="{B109E01C-15DD-4D8C-AA66-36C80FF42185}" type="pres">
      <dgm:prSet presAssocID="{765C8C11-88A9-4F34-A551-6847125F54FD}" presName="hierChild5" presStyleCnt="0"/>
      <dgm:spPr/>
    </dgm:pt>
    <dgm:pt modelId="{8C33DA4D-CE64-4735-BFC8-A695CCB30749}" type="pres">
      <dgm:prSet presAssocID="{2551816C-F1DC-4ECF-A444-1C06B3D42874}" presName="Name37" presStyleLbl="parChTrans1D4" presStyleIdx="6" presStyleCnt="8"/>
      <dgm:spPr/>
      <dgm:t>
        <a:bodyPr/>
        <a:lstStyle/>
        <a:p>
          <a:endParaRPr lang="en-US"/>
        </a:p>
      </dgm:t>
    </dgm:pt>
    <dgm:pt modelId="{A6C5562C-92AE-4F17-9C70-427F280429B7}" type="pres">
      <dgm:prSet presAssocID="{554DC1AC-70F0-4C3E-B7EC-5E8CA3569F95}" presName="hierRoot2" presStyleCnt="0">
        <dgm:presLayoutVars>
          <dgm:hierBranch val="init"/>
        </dgm:presLayoutVars>
      </dgm:prSet>
      <dgm:spPr/>
    </dgm:pt>
    <dgm:pt modelId="{3C838303-7097-4C6F-AFBA-1F592D4567E6}" type="pres">
      <dgm:prSet presAssocID="{554DC1AC-70F0-4C3E-B7EC-5E8CA3569F95}" presName="rootComposite" presStyleCnt="0"/>
      <dgm:spPr/>
    </dgm:pt>
    <dgm:pt modelId="{296CA16D-C430-4F42-B15A-0F72C10944B1}" type="pres">
      <dgm:prSet presAssocID="{554DC1AC-70F0-4C3E-B7EC-5E8CA3569F95}" presName="rootText" presStyleLbl="node4" presStyleIdx="6" presStyleCnt="8" custScaleX="122173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A46C6446-7DA4-44B4-89F9-4B836BA1C770}" type="pres">
      <dgm:prSet presAssocID="{554DC1AC-70F0-4C3E-B7EC-5E8CA3569F95}" presName="rootConnector" presStyleLbl="node4" presStyleIdx="6" presStyleCnt="8"/>
      <dgm:spPr/>
      <dgm:t>
        <a:bodyPr/>
        <a:lstStyle/>
        <a:p>
          <a:endParaRPr lang="en-US"/>
        </a:p>
      </dgm:t>
    </dgm:pt>
    <dgm:pt modelId="{7BC64734-ACF6-471A-93B3-78443130B32D}" type="pres">
      <dgm:prSet presAssocID="{554DC1AC-70F0-4C3E-B7EC-5E8CA3569F95}" presName="hierChild4" presStyleCnt="0"/>
      <dgm:spPr/>
    </dgm:pt>
    <dgm:pt modelId="{EE8F9124-7C1A-49EB-B317-862E465FAC50}" type="pres">
      <dgm:prSet presAssocID="{554DC1AC-70F0-4C3E-B7EC-5E8CA3569F95}" presName="hierChild5" presStyleCnt="0"/>
      <dgm:spPr/>
    </dgm:pt>
    <dgm:pt modelId="{506EC688-1F2F-4A32-A572-149D58A9A75E}" type="pres">
      <dgm:prSet presAssocID="{09A272C9-B452-4720-911C-51C72BF8E5DF}" presName="Name37" presStyleLbl="parChTrans1D4" presStyleIdx="7" presStyleCnt="8"/>
      <dgm:spPr/>
      <dgm:t>
        <a:bodyPr/>
        <a:lstStyle/>
        <a:p>
          <a:endParaRPr lang="en-US"/>
        </a:p>
      </dgm:t>
    </dgm:pt>
    <dgm:pt modelId="{899DB93A-9536-4B7A-B549-F77B47CD37D0}" type="pres">
      <dgm:prSet presAssocID="{03913791-6852-43AC-8B5A-8E28ACD6D09D}" presName="hierRoot2" presStyleCnt="0">
        <dgm:presLayoutVars>
          <dgm:hierBranch val="init"/>
        </dgm:presLayoutVars>
      </dgm:prSet>
      <dgm:spPr/>
    </dgm:pt>
    <dgm:pt modelId="{85533F51-6A76-4B6E-A5B1-9FEE2FBD0538}" type="pres">
      <dgm:prSet presAssocID="{03913791-6852-43AC-8B5A-8E28ACD6D09D}" presName="rootComposite" presStyleCnt="0"/>
      <dgm:spPr/>
    </dgm:pt>
    <dgm:pt modelId="{0651BFE4-9F81-4E4F-A5A9-D04F566DC450}" type="pres">
      <dgm:prSet presAssocID="{03913791-6852-43AC-8B5A-8E28ACD6D09D}" presName="rootText" presStyleLbl="node4" presStyleIdx="7" presStyleCnt="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0A118CD2-1860-49E3-B4A4-64B458A2CDBE}" type="pres">
      <dgm:prSet presAssocID="{03913791-6852-43AC-8B5A-8E28ACD6D09D}" presName="rootConnector" presStyleLbl="node4" presStyleIdx="7" presStyleCnt="8"/>
      <dgm:spPr/>
      <dgm:t>
        <a:bodyPr/>
        <a:lstStyle/>
        <a:p>
          <a:endParaRPr lang="en-US"/>
        </a:p>
      </dgm:t>
    </dgm:pt>
    <dgm:pt modelId="{4C08A34D-5748-41D5-931F-0A3A69D03065}" type="pres">
      <dgm:prSet presAssocID="{03913791-6852-43AC-8B5A-8E28ACD6D09D}" presName="hierChild4" presStyleCnt="0"/>
      <dgm:spPr/>
    </dgm:pt>
    <dgm:pt modelId="{833EFCD1-91F6-4D23-8E5D-A700D85BBBED}" type="pres">
      <dgm:prSet presAssocID="{03913791-6852-43AC-8B5A-8E28ACD6D09D}" presName="hierChild5" presStyleCnt="0"/>
      <dgm:spPr/>
    </dgm:pt>
    <dgm:pt modelId="{D19B1EFD-24AC-420C-B90B-ECFFC7219A36}" type="pres">
      <dgm:prSet presAssocID="{66D98AAE-9BCB-436C-B89D-1E7EE104E348}" presName="hierChild5" presStyleCnt="0"/>
      <dgm:spPr/>
    </dgm:pt>
    <dgm:pt modelId="{C582B1CE-493C-4F0A-BA2C-81EEFFE69CB0}" type="pres">
      <dgm:prSet presAssocID="{39D9D838-F72E-4615-AC38-7475BBA4BF10}" presName="hierChild5" presStyleCnt="0"/>
      <dgm:spPr/>
    </dgm:pt>
    <dgm:pt modelId="{B1476D85-3C68-4C14-A925-7BF3394708F6}" type="pres">
      <dgm:prSet presAssocID="{8AC8C98E-2F47-442C-A093-B003113D3A33}" presName="Name37" presStyleLbl="parChTrans1D2" presStyleIdx="2" presStyleCnt="4"/>
      <dgm:spPr/>
      <dgm:t>
        <a:bodyPr/>
        <a:lstStyle/>
        <a:p>
          <a:endParaRPr lang="en-US"/>
        </a:p>
      </dgm:t>
    </dgm:pt>
    <dgm:pt modelId="{62040015-9210-4E09-8679-F21B103ED362}" type="pres">
      <dgm:prSet presAssocID="{CE80B9DE-DC20-4F93-91C8-9EC3B0C34760}" presName="hierRoot2" presStyleCnt="0">
        <dgm:presLayoutVars>
          <dgm:hierBranch val="init"/>
        </dgm:presLayoutVars>
      </dgm:prSet>
      <dgm:spPr/>
    </dgm:pt>
    <dgm:pt modelId="{90D19E3E-F7FB-4AFE-A48F-6C22679E6F85}" type="pres">
      <dgm:prSet presAssocID="{CE80B9DE-DC20-4F93-91C8-9EC3B0C34760}" presName="rootComposite" presStyleCnt="0"/>
      <dgm:spPr/>
    </dgm:pt>
    <dgm:pt modelId="{F2631B50-57AC-4DF4-8B1B-45536DF1E624}" type="pres">
      <dgm:prSet presAssocID="{CE80B9DE-DC20-4F93-91C8-9EC3B0C34760}" presName="rootText" presStyleLbl="node2" presStyleIdx="2" presStyleCnt="4" custScaleX="137068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24AABA29-B068-4F4B-8E9C-2FF7ADDD7605}" type="pres">
      <dgm:prSet presAssocID="{CE80B9DE-DC20-4F93-91C8-9EC3B0C34760}" presName="rootConnector" presStyleLbl="node2" presStyleIdx="2" presStyleCnt="4"/>
      <dgm:spPr/>
      <dgm:t>
        <a:bodyPr/>
        <a:lstStyle/>
        <a:p>
          <a:endParaRPr lang="en-US"/>
        </a:p>
      </dgm:t>
    </dgm:pt>
    <dgm:pt modelId="{9AA89718-1678-4814-BE64-1FD4A9A7D935}" type="pres">
      <dgm:prSet presAssocID="{CE80B9DE-DC20-4F93-91C8-9EC3B0C34760}" presName="hierChild4" presStyleCnt="0"/>
      <dgm:spPr/>
    </dgm:pt>
    <dgm:pt modelId="{8CE365B3-C0C0-4535-A72A-97B20C0DE02B}" type="pres">
      <dgm:prSet presAssocID="{06A4315D-7584-48D2-9D78-4CCEE6B8DB0D}" presName="Name37" presStyleLbl="parChTrans1D3" presStyleIdx="5" presStyleCnt="10"/>
      <dgm:spPr/>
      <dgm:t>
        <a:bodyPr/>
        <a:lstStyle/>
        <a:p>
          <a:endParaRPr lang="en-US"/>
        </a:p>
      </dgm:t>
    </dgm:pt>
    <dgm:pt modelId="{168A4C51-1CD8-4962-B9CD-311C7852B713}" type="pres">
      <dgm:prSet presAssocID="{73878CA9-DA68-4485-A2B6-69CAA0D18710}" presName="hierRoot2" presStyleCnt="0">
        <dgm:presLayoutVars>
          <dgm:hierBranch val="init"/>
        </dgm:presLayoutVars>
      </dgm:prSet>
      <dgm:spPr/>
    </dgm:pt>
    <dgm:pt modelId="{BA1448E0-987C-4F6F-84DE-76ED26746429}" type="pres">
      <dgm:prSet presAssocID="{73878CA9-DA68-4485-A2B6-69CAA0D18710}" presName="rootComposite" presStyleCnt="0"/>
      <dgm:spPr/>
    </dgm:pt>
    <dgm:pt modelId="{EC8B8BA8-6182-4337-931A-FB86E42D45D5}" type="pres">
      <dgm:prSet presAssocID="{73878CA9-DA68-4485-A2B6-69CAA0D18710}" presName="rootText" presStyleLbl="node3" presStyleIdx="5" presStyleCnt="10" custScaleX="116597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26CA4F92-8ED2-4DA9-B9D1-1DC43398FBCD}" type="pres">
      <dgm:prSet presAssocID="{73878CA9-DA68-4485-A2B6-69CAA0D18710}" presName="rootConnector" presStyleLbl="node3" presStyleIdx="5" presStyleCnt="10"/>
      <dgm:spPr/>
      <dgm:t>
        <a:bodyPr/>
        <a:lstStyle/>
        <a:p>
          <a:endParaRPr lang="en-US"/>
        </a:p>
      </dgm:t>
    </dgm:pt>
    <dgm:pt modelId="{4C16BFEA-DB3B-47D7-B3D9-5FE022FDE75A}" type="pres">
      <dgm:prSet presAssocID="{73878CA9-DA68-4485-A2B6-69CAA0D18710}" presName="hierChild4" presStyleCnt="0"/>
      <dgm:spPr/>
    </dgm:pt>
    <dgm:pt modelId="{F3DA662D-BF4C-4179-80BD-E73D955F9221}" type="pres">
      <dgm:prSet presAssocID="{73878CA9-DA68-4485-A2B6-69CAA0D18710}" presName="hierChild5" presStyleCnt="0"/>
      <dgm:spPr/>
    </dgm:pt>
    <dgm:pt modelId="{E2998BC0-AFD0-47E7-BB8A-903A982612C5}" type="pres">
      <dgm:prSet presAssocID="{FA31AF5D-6796-4F98-BE71-440DEA9551BD}" presName="Name37" presStyleLbl="parChTrans1D3" presStyleIdx="6" presStyleCnt="10"/>
      <dgm:spPr/>
      <dgm:t>
        <a:bodyPr/>
        <a:lstStyle/>
        <a:p>
          <a:endParaRPr lang="en-US"/>
        </a:p>
      </dgm:t>
    </dgm:pt>
    <dgm:pt modelId="{B9A7682D-6B87-4A29-91F9-8AD69B38760D}" type="pres">
      <dgm:prSet presAssocID="{A2FF0EED-87E5-47E7-A985-8616B200772E}" presName="hierRoot2" presStyleCnt="0">
        <dgm:presLayoutVars>
          <dgm:hierBranch val="init"/>
        </dgm:presLayoutVars>
      </dgm:prSet>
      <dgm:spPr/>
    </dgm:pt>
    <dgm:pt modelId="{3114B25D-A933-498F-93FE-F11A0505FA66}" type="pres">
      <dgm:prSet presAssocID="{A2FF0EED-87E5-47E7-A985-8616B200772E}" presName="rootComposite" presStyleCnt="0"/>
      <dgm:spPr/>
    </dgm:pt>
    <dgm:pt modelId="{50C92198-9DDE-4F6F-B2E3-C760450C586C}" type="pres">
      <dgm:prSet presAssocID="{A2FF0EED-87E5-47E7-A985-8616B200772E}" presName="rootText" presStyleLbl="node3" presStyleIdx="6" presStyleCnt="1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64189A3C-0937-4E82-9128-F91BCE611D06}" type="pres">
      <dgm:prSet presAssocID="{A2FF0EED-87E5-47E7-A985-8616B200772E}" presName="rootConnector" presStyleLbl="node3" presStyleIdx="6" presStyleCnt="10"/>
      <dgm:spPr/>
      <dgm:t>
        <a:bodyPr/>
        <a:lstStyle/>
        <a:p>
          <a:endParaRPr lang="en-US"/>
        </a:p>
      </dgm:t>
    </dgm:pt>
    <dgm:pt modelId="{94658B40-C28B-4D58-B53F-60ABDF494797}" type="pres">
      <dgm:prSet presAssocID="{A2FF0EED-87E5-47E7-A985-8616B200772E}" presName="hierChild4" presStyleCnt="0"/>
      <dgm:spPr/>
    </dgm:pt>
    <dgm:pt modelId="{EBCB48EB-8FBB-4A7C-84B1-48B13B48CB46}" type="pres">
      <dgm:prSet presAssocID="{A2FF0EED-87E5-47E7-A985-8616B200772E}" presName="hierChild5" presStyleCnt="0"/>
      <dgm:spPr/>
    </dgm:pt>
    <dgm:pt modelId="{D9A005EB-800D-4B64-AB4F-8961680075D2}" type="pres">
      <dgm:prSet presAssocID="{CE80B9DE-DC20-4F93-91C8-9EC3B0C34760}" presName="hierChild5" presStyleCnt="0"/>
      <dgm:spPr/>
    </dgm:pt>
    <dgm:pt modelId="{8B054394-1CC4-4E14-A3C3-84549898A818}" type="pres">
      <dgm:prSet presAssocID="{2D07F186-CFD5-4108-B5E0-F458506A1C78}" presName="Name37" presStyleLbl="parChTrans1D2" presStyleIdx="3" presStyleCnt="4"/>
      <dgm:spPr/>
      <dgm:t>
        <a:bodyPr/>
        <a:lstStyle/>
        <a:p>
          <a:endParaRPr lang="en-US"/>
        </a:p>
      </dgm:t>
    </dgm:pt>
    <dgm:pt modelId="{AEEBFF4C-3A02-4138-9D9D-B4A34D188C2F}" type="pres">
      <dgm:prSet presAssocID="{AB1B3730-2782-4004-B682-5CC76763CCCA}" presName="hierRoot2" presStyleCnt="0">
        <dgm:presLayoutVars>
          <dgm:hierBranch val="init"/>
        </dgm:presLayoutVars>
      </dgm:prSet>
      <dgm:spPr/>
    </dgm:pt>
    <dgm:pt modelId="{9CCE0A51-9158-463B-8218-C83291474F22}" type="pres">
      <dgm:prSet presAssocID="{AB1B3730-2782-4004-B682-5CC76763CCCA}" presName="rootComposite" presStyleCnt="0"/>
      <dgm:spPr/>
    </dgm:pt>
    <dgm:pt modelId="{E0E8A66C-86AE-4333-B38F-BDCB42BD2FE9}" type="pres">
      <dgm:prSet presAssocID="{AB1B3730-2782-4004-B682-5CC76763CCCA}" presName="rootText" presStyleLbl="node2" presStyleIdx="3" presStyleCnt="4" custScaleX="133527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7093672A-7E80-4CF8-BFDC-6CD547679DAB}" type="pres">
      <dgm:prSet presAssocID="{AB1B3730-2782-4004-B682-5CC76763CCCA}" presName="rootConnector" presStyleLbl="node2" presStyleIdx="3" presStyleCnt="4"/>
      <dgm:spPr/>
      <dgm:t>
        <a:bodyPr/>
        <a:lstStyle/>
        <a:p>
          <a:endParaRPr lang="en-US"/>
        </a:p>
      </dgm:t>
    </dgm:pt>
    <dgm:pt modelId="{47FEF06C-1335-4B11-9D68-F3D4A260704E}" type="pres">
      <dgm:prSet presAssocID="{AB1B3730-2782-4004-B682-5CC76763CCCA}" presName="hierChild4" presStyleCnt="0"/>
      <dgm:spPr/>
    </dgm:pt>
    <dgm:pt modelId="{81BC3BEA-09FC-4A9F-A8CD-E99668485C46}" type="pres">
      <dgm:prSet presAssocID="{76E69C2A-FFC8-4443-966C-C26B375E2A8A}" presName="Name37" presStyleLbl="parChTrans1D3" presStyleIdx="7" presStyleCnt="10"/>
      <dgm:spPr/>
      <dgm:t>
        <a:bodyPr/>
        <a:lstStyle/>
        <a:p>
          <a:endParaRPr lang="en-US"/>
        </a:p>
      </dgm:t>
    </dgm:pt>
    <dgm:pt modelId="{6AEE54A3-3137-451A-9E6C-40BE325B58D5}" type="pres">
      <dgm:prSet presAssocID="{01322BD9-D15F-4A16-8C20-5622BD08C12D}" presName="hierRoot2" presStyleCnt="0">
        <dgm:presLayoutVars>
          <dgm:hierBranch val="init"/>
        </dgm:presLayoutVars>
      </dgm:prSet>
      <dgm:spPr/>
    </dgm:pt>
    <dgm:pt modelId="{C860FD61-23E9-4FD4-A405-72CF14E573B4}" type="pres">
      <dgm:prSet presAssocID="{01322BD9-D15F-4A16-8C20-5622BD08C12D}" presName="rootComposite" presStyleCnt="0"/>
      <dgm:spPr/>
    </dgm:pt>
    <dgm:pt modelId="{34A3554F-1966-4BAC-8584-94827A995940}" type="pres">
      <dgm:prSet presAssocID="{01322BD9-D15F-4A16-8C20-5622BD08C12D}" presName="rootText" presStyleLbl="node3" presStyleIdx="7" presStyleCnt="1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4C65E9EB-ECF4-445D-B6AF-9645AAF3322D}" type="pres">
      <dgm:prSet presAssocID="{01322BD9-D15F-4A16-8C20-5622BD08C12D}" presName="rootConnector" presStyleLbl="node3" presStyleIdx="7" presStyleCnt="10"/>
      <dgm:spPr/>
      <dgm:t>
        <a:bodyPr/>
        <a:lstStyle/>
        <a:p>
          <a:endParaRPr lang="en-US"/>
        </a:p>
      </dgm:t>
    </dgm:pt>
    <dgm:pt modelId="{1179E864-0BD3-44AB-B95A-F567EBB5CA69}" type="pres">
      <dgm:prSet presAssocID="{01322BD9-D15F-4A16-8C20-5622BD08C12D}" presName="hierChild4" presStyleCnt="0"/>
      <dgm:spPr/>
    </dgm:pt>
    <dgm:pt modelId="{543BEDBA-6D23-46F1-80D1-4B8CEE6F9969}" type="pres">
      <dgm:prSet presAssocID="{01322BD9-D15F-4A16-8C20-5622BD08C12D}" presName="hierChild5" presStyleCnt="0"/>
      <dgm:spPr/>
    </dgm:pt>
    <dgm:pt modelId="{CE873677-3DD0-4241-9A49-0CCEC83EF20F}" type="pres">
      <dgm:prSet presAssocID="{806F4020-5633-4A1C-A202-81D7786B991F}" presName="Name37" presStyleLbl="parChTrans1D3" presStyleIdx="8" presStyleCnt="10"/>
      <dgm:spPr/>
      <dgm:t>
        <a:bodyPr/>
        <a:lstStyle/>
        <a:p>
          <a:endParaRPr lang="en-US"/>
        </a:p>
      </dgm:t>
    </dgm:pt>
    <dgm:pt modelId="{678180D9-D006-4CBE-A38F-8C87D4EC913A}" type="pres">
      <dgm:prSet presAssocID="{C51AEA4E-8C15-44EA-84D0-E7D1E90A0141}" presName="hierRoot2" presStyleCnt="0">
        <dgm:presLayoutVars>
          <dgm:hierBranch val="init"/>
        </dgm:presLayoutVars>
      </dgm:prSet>
      <dgm:spPr/>
    </dgm:pt>
    <dgm:pt modelId="{099B8C2E-07F1-4606-812C-05381D78AC76}" type="pres">
      <dgm:prSet presAssocID="{C51AEA4E-8C15-44EA-84D0-E7D1E90A0141}" presName="rootComposite" presStyleCnt="0"/>
      <dgm:spPr/>
    </dgm:pt>
    <dgm:pt modelId="{44D1215C-E326-4723-A825-EF9D137E7AF2}" type="pres">
      <dgm:prSet presAssocID="{C51AEA4E-8C15-44EA-84D0-E7D1E90A0141}" presName="rootText" presStyleLbl="node3" presStyleIdx="8" presStyleCnt="1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CB3044F3-1CF0-41DE-B582-6F7A2C8ADC78}" type="pres">
      <dgm:prSet presAssocID="{C51AEA4E-8C15-44EA-84D0-E7D1E90A0141}" presName="rootConnector" presStyleLbl="node3" presStyleIdx="8" presStyleCnt="10"/>
      <dgm:spPr/>
      <dgm:t>
        <a:bodyPr/>
        <a:lstStyle/>
        <a:p>
          <a:endParaRPr lang="en-US"/>
        </a:p>
      </dgm:t>
    </dgm:pt>
    <dgm:pt modelId="{5A6CCD82-116A-44D0-A337-78CD2BF47A70}" type="pres">
      <dgm:prSet presAssocID="{C51AEA4E-8C15-44EA-84D0-E7D1E90A0141}" presName="hierChild4" presStyleCnt="0"/>
      <dgm:spPr/>
    </dgm:pt>
    <dgm:pt modelId="{92E996BF-3524-4915-9FA6-3B6B7AAC1725}" type="pres">
      <dgm:prSet presAssocID="{C51AEA4E-8C15-44EA-84D0-E7D1E90A0141}" presName="hierChild5" presStyleCnt="0"/>
      <dgm:spPr/>
    </dgm:pt>
    <dgm:pt modelId="{D3397E37-0FBA-4D2D-A417-F4CD51842D74}" type="pres">
      <dgm:prSet presAssocID="{07717C49-6FB4-47BB-AFBA-B38DC37C1859}" presName="Name37" presStyleLbl="parChTrans1D3" presStyleIdx="9" presStyleCnt="10"/>
      <dgm:spPr/>
      <dgm:t>
        <a:bodyPr/>
        <a:lstStyle/>
        <a:p>
          <a:endParaRPr lang="en-US"/>
        </a:p>
      </dgm:t>
    </dgm:pt>
    <dgm:pt modelId="{F086075C-71D9-475E-B5CD-8E72C06CD3BF}" type="pres">
      <dgm:prSet presAssocID="{A32420D6-36E1-46A4-852B-F224EAE3F011}" presName="hierRoot2" presStyleCnt="0">
        <dgm:presLayoutVars>
          <dgm:hierBranch val="init"/>
        </dgm:presLayoutVars>
      </dgm:prSet>
      <dgm:spPr/>
    </dgm:pt>
    <dgm:pt modelId="{40CD7CB6-D516-473E-ADBA-CE7AF77195B4}" type="pres">
      <dgm:prSet presAssocID="{A32420D6-36E1-46A4-852B-F224EAE3F011}" presName="rootComposite" presStyleCnt="0"/>
      <dgm:spPr/>
    </dgm:pt>
    <dgm:pt modelId="{4254EAD8-AADD-4A95-BFA8-DBD485431DB9}" type="pres">
      <dgm:prSet presAssocID="{A32420D6-36E1-46A4-852B-F224EAE3F011}" presName="rootText" presStyleLbl="node3" presStyleIdx="9" presStyleCnt="1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5373D89F-849C-45A2-BBA4-B3F2BF93C70B}" type="pres">
      <dgm:prSet presAssocID="{A32420D6-36E1-46A4-852B-F224EAE3F011}" presName="rootConnector" presStyleLbl="node3" presStyleIdx="9" presStyleCnt="10"/>
      <dgm:spPr/>
      <dgm:t>
        <a:bodyPr/>
        <a:lstStyle/>
        <a:p>
          <a:endParaRPr lang="en-US"/>
        </a:p>
      </dgm:t>
    </dgm:pt>
    <dgm:pt modelId="{F5FFEAFB-5EA3-4B53-8ED6-FACA186AB665}" type="pres">
      <dgm:prSet presAssocID="{A32420D6-36E1-46A4-852B-F224EAE3F011}" presName="hierChild4" presStyleCnt="0"/>
      <dgm:spPr/>
    </dgm:pt>
    <dgm:pt modelId="{6D1F6419-784C-4013-A19F-D482DD71E7ED}" type="pres">
      <dgm:prSet presAssocID="{A32420D6-36E1-46A4-852B-F224EAE3F011}" presName="hierChild5" presStyleCnt="0"/>
      <dgm:spPr/>
    </dgm:pt>
    <dgm:pt modelId="{25B32C56-C463-41E7-BA6E-83DBE5869FBF}" type="pres">
      <dgm:prSet presAssocID="{AB1B3730-2782-4004-B682-5CC76763CCCA}" presName="hierChild5" presStyleCnt="0"/>
      <dgm:spPr/>
    </dgm:pt>
    <dgm:pt modelId="{C6072220-6D0A-43C1-9E03-18006530491F}" type="pres">
      <dgm:prSet presAssocID="{A3DFA7A1-764C-474B-B0D4-3DF0EB93137D}" presName="hierChild3" presStyleCnt="0"/>
      <dgm:spPr/>
    </dgm:pt>
  </dgm:ptLst>
  <dgm:cxnLst>
    <dgm:cxn modelId="{1008E105-5340-47F1-9938-F40879CD4987}" srcId="{03B2766D-B00B-46DE-859E-CB030A6B692D}" destId="{FD24A803-D50B-4C9F-B4B7-4BF76B6A3817}" srcOrd="0" destOrd="0" parTransId="{69FAD7D4-18E5-4E0F-8FAA-53B552C84FD0}" sibTransId="{B0308AAD-40B0-4405-9D7C-365D86635F96}"/>
    <dgm:cxn modelId="{415AF4E9-C22F-4F55-AD86-0425D11C5676}" type="presOf" srcId="{03913791-6852-43AC-8B5A-8E28ACD6D09D}" destId="{0651BFE4-9F81-4E4F-A5A9-D04F566DC450}" srcOrd="0" destOrd="0" presId="urn:microsoft.com/office/officeart/2005/8/layout/orgChart1"/>
    <dgm:cxn modelId="{16EB564D-3CF8-4089-93F2-D6C5F9EE815D}" type="presOf" srcId="{8DFC040B-0381-4C8C-9451-07E58F4CF923}" destId="{CD7F8F63-CBDF-415E-821F-8148D125DB90}" srcOrd="0" destOrd="0" presId="urn:microsoft.com/office/officeart/2005/8/layout/orgChart1"/>
    <dgm:cxn modelId="{C554BBE4-80B2-4072-BF96-EDE661506D14}" srcId="{CE80B9DE-DC20-4F93-91C8-9EC3B0C34760}" destId="{A2FF0EED-87E5-47E7-A985-8616B200772E}" srcOrd="1" destOrd="0" parTransId="{FA31AF5D-6796-4F98-BE71-440DEA9551BD}" sibTransId="{8BCDF686-7073-4051-AB24-F6103A03DEA5}"/>
    <dgm:cxn modelId="{8F4B3896-B998-4AD8-B186-689895147BE3}" type="presOf" srcId="{76E69C2A-FFC8-4443-966C-C26B375E2A8A}" destId="{81BC3BEA-09FC-4A9F-A8CD-E99668485C46}" srcOrd="0" destOrd="0" presId="urn:microsoft.com/office/officeart/2005/8/layout/orgChart1"/>
    <dgm:cxn modelId="{8295DB93-CF0E-4581-A00B-BCFE301568A3}" type="presOf" srcId="{2551816C-F1DC-4ECF-A444-1C06B3D42874}" destId="{8C33DA4D-CE64-4735-BFC8-A695CCB30749}" srcOrd="0" destOrd="0" presId="urn:microsoft.com/office/officeart/2005/8/layout/orgChart1"/>
    <dgm:cxn modelId="{EFB60154-5046-4F90-92A5-B7107485C480}" type="presOf" srcId="{CE80B9DE-DC20-4F93-91C8-9EC3B0C34760}" destId="{F2631B50-57AC-4DF4-8B1B-45536DF1E624}" srcOrd="0" destOrd="0" presId="urn:microsoft.com/office/officeart/2005/8/layout/orgChart1"/>
    <dgm:cxn modelId="{260B9C23-C6C9-4EA0-93C0-199B0E7075D9}" srcId="{A3DFA7A1-764C-474B-B0D4-3DF0EB93137D}" destId="{CE80B9DE-DC20-4F93-91C8-9EC3B0C34760}" srcOrd="2" destOrd="0" parTransId="{8AC8C98E-2F47-442C-A093-B003113D3A33}" sibTransId="{2821CB04-43F2-4A60-B2D0-5DC279CD1F4F}"/>
    <dgm:cxn modelId="{8EA58376-568E-4A96-9C8D-822AAF9C3DB1}" type="presOf" srcId="{A3DFA7A1-764C-474B-B0D4-3DF0EB93137D}" destId="{BA9E7D27-EBFC-4B15-ACBE-056E84507A49}" srcOrd="1" destOrd="0" presId="urn:microsoft.com/office/officeart/2005/8/layout/orgChart1"/>
    <dgm:cxn modelId="{416D3EBC-0B73-4380-BD81-1F502EA8B558}" type="presOf" srcId="{D6CDD5F1-6C75-4594-BAE9-301EC1255FD5}" destId="{55CB5CD9-BCDB-42BD-966A-3AED8A0EA9E6}" srcOrd="0" destOrd="0" presId="urn:microsoft.com/office/officeart/2005/8/layout/orgChart1"/>
    <dgm:cxn modelId="{AFE1E1B5-A930-4DB3-B097-472FDD019FC8}" srcId="{A3DFA7A1-764C-474B-B0D4-3DF0EB93137D}" destId="{AB1B3730-2782-4004-B682-5CC76763CCCA}" srcOrd="3" destOrd="0" parTransId="{2D07F186-CFD5-4108-B5E0-F458506A1C78}" sibTransId="{8D728838-A97F-424F-847A-E5DD76ADB8B3}"/>
    <dgm:cxn modelId="{F35C5191-19D0-4184-BA3E-1289FB5C3F15}" type="presOf" srcId="{03B2766D-B00B-46DE-859E-CB030A6B692D}" destId="{D13F497C-8609-4CB0-BC8B-7E5B38BC2300}" srcOrd="1" destOrd="0" presId="urn:microsoft.com/office/officeart/2005/8/layout/orgChart1"/>
    <dgm:cxn modelId="{695F2A89-5B51-4414-944D-6343CB214E7A}" type="presOf" srcId="{A2FF0EED-87E5-47E7-A985-8616B200772E}" destId="{64189A3C-0937-4E82-9128-F91BCE611D06}" srcOrd="1" destOrd="0" presId="urn:microsoft.com/office/officeart/2005/8/layout/orgChart1"/>
    <dgm:cxn modelId="{B77D52F4-8073-4CFA-8092-D3D2EFF4BCDF}" type="presOf" srcId="{FA31AF5D-6796-4F98-BE71-440DEA9551BD}" destId="{E2998BC0-AFD0-47E7-BB8A-903A982612C5}" srcOrd="0" destOrd="0" presId="urn:microsoft.com/office/officeart/2005/8/layout/orgChart1"/>
    <dgm:cxn modelId="{CF50D62A-A391-4F93-8891-92B0064234FC}" type="presOf" srcId="{AB1B3730-2782-4004-B682-5CC76763CCCA}" destId="{7093672A-7E80-4CF8-BFDC-6CD547679DAB}" srcOrd="1" destOrd="0" presId="urn:microsoft.com/office/officeart/2005/8/layout/orgChart1"/>
    <dgm:cxn modelId="{3E983CF8-873D-425F-B02F-43699071E755}" type="presOf" srcId="{A32420D6-36E1-46A4-852B-F224EAE3F011}" destId="{5373D89F-849C-45A2-BBA4-B3F2BF93C70B}" srcOrd="1" destOrd="0" presId="urn:microsoft.com/office/officeart/2005/8/layout/orgChart1"/>
    <dgm:cxn modelId="{9EFB2BCF-0F86-4E16-B9CD-3C3E0F5EA3C8}" type="presOf" srcId="{8664E1A8-5E03-4E6E-A885-41049A681E6C}" destId="{606BDBBB-67A7-47D0-8713-3064D6764B24}" srcOrd="0" destOrd="0" presId="urn:microsoft.com/office/officeart/2005/8/layout/orgChart1"/>
    <dgm:cxn modelId="{16245C7E-28B8-4513-B8E7-4854C0EAA36F}" type="presOf" srcId="{765C8C11-88A9-4F34-A551-6847125F54FD}" destId="{87BA7C31-E3E0-4084-8B6D-C283069CB1F0}" srcOrd="1" destOrd="0" presId="urn:microsoft.com/office/officeart/2005/8/layout/orgChart1"/>
    <dgm:cxn modelId="{9DB5D3B4-8FDA-4B57-9871-E9ACE88854D1}" type="presOf" srcId="{071E5E0E-C1E9-4E3D-9785-C92656DBF2B8}" destId="{4E729864-9732-46A2-8955-878D6EB53D9C}" srcOrd="0" destOrd="0" presId="urn:microsoft.com/office/officeart/2005/8/layout/orgChart1"/>
    <dgm:cxn modelId="{B0693AE2-56F0-4ECE-88AE-132E39F8C565}" type="presOf" srcId="{FD24A803-D50B-4C9F-B4B7-4BF76B6A3817}" destId="{1DB5B43E-7BD2-48CB-9BB2-EDD0459A3E40}" srcOrd="0" destOrd="0" presId="urn:microsoft.com/office/officeart/2005/8/layout/orgChart1"/>
    <dgm:cxn modelId="{74C70DB5-32D1-45F3-B404-0CED57C45371}" srcId="{AB1B3730-2782-4004-B682-5CC76763CCCA}" destId="{C51AEA4E-8C15-44EA-84D0-E7D1E90A0141}" srcOrd="1" destOrd="0" parTransId="{806F4020-5633-4A1C-A202-81D7786B991F}" sibTransId="{32103476-D6B6-402D-8C3D-26AE74D1AF69}"/>
    <dgm:cxn modelId="{53AFC482-233B-4F60-A69C-FD97341A09C8}" type="presOf" srcId="{1A3C5B9C-DDB1-404E-9371-688437EEC9A3}" destId="{1238D140-43FC-4451-8C04-513B17A582FB}" srcOrd="0" destOrd="0" presId="urn:microsoft.com/office/officeart/2005/8/layout/orgChart1"/>
    <dgm:cxn modelId="{FEF21387-6615-43FD-A603-0E38BF922686}" srcId="{61D60A39-E0D3-4406-A610-4F67E620C80C}" destId="{029EFF84-DD8A-435C-AE0C-BD3165C397AA}" srcOrd="1" destOrd="0" parTransId="{611D67D0-421C-4C93-AD58-5AA6149A9C01}" sibTransId="{AB7D8B22-270B-4153-9230-E2614D335C5D}"/>
    <dgm:cxn modelId="{65E99604-D844-43BF-BBB2-0E0C9B8003BB}" type="presOf" srcId="{A32420D6-36E1-46A4-852B-F224EAE3F011}" destId="{4254EAD8-AADD-4A95-BFA8-DBD485431DB9}" srcOrd="0" destOrd="0" presId="urn:microsoft.com/office/officeart/2005/8/layout/orgChart1"/>
    <dgm:cxn modelId="{20136FAB-FA5E-4618-BE4F-08C0BCDCC9D7}" type="presOf" srcId="{01322BD9-D15F-4A16-8C20-5622BD08C12D}" destId="{34A3554F-1966-4BAC-8584-94827A995940}" srcOrd="0" destOrd="0" presId="urn:microsoft.com/office/officeart/2005/8/layout/orgChart1"/>
    <dgm:cxn modelId="{5F5DA65A-6EC4-4AB4-B49E-EF7876E5A607}" type="presOf" srcId="{B090FA82-89E9-4A3F-B33C-C8E675BCF537}" destId="{BCEC5F52-F569-44E9-9ED4-60EC00F58C3F}" srcOrd="0" destOrd="0" presId="urn:microsoft.com/office/officeart/2005/8/layout/orgChart1"/>
    <dgm:cxn modelId="{25C3CA00-160F-4023-BBA6-30F477ED29B1}" type="presOf" srcId="{79E86BC8-A3F6-47EF-A5FE-4CBB1C686F96}" destId="{F620F91B-0B4E-4EDE-9156-71713C6C83F1}" srcOrd="1" destOrd="0" presId="urn:microsoft.com/office/officeart/2005/8/layout/orgChart1"/>
    <dgm:cxn modelId="{C702948F-75C3-4DBD-9BFE-31449510FBD3}" type="presOf" srcId="{61D60A39-E0D3-4406-A610-4F67E620C80C}" destId="{1922EED1-1FD5-49E0-85D6-796288145450}" srcOrd="0" destOrd="0" presId="urn:microsoft.com/office/officeart/2005/8/layout/orgChart1"/>
    <dgm:cxn modelId="{F6AE6BAF-CDF9-4E5A-8CA4-F5B125B1123F}" type="presOf" srcId="{79E86BC8-A3F6-47EF-A5FE-4CBB1C686F96}" destId="{05CF6281-B01F-4925-A308-F51761C7632F}" srcOrd="0" destOrd="0" presId="urn:microsoft.com/office/officeart/2005/8/layout/orgChart1"/>
    <dgm:cxn modelId="{D33C2AA6-7C1C-484B-85FC-29EFABFCC262}" type="presOf" srcId="{06A4315D-7584-48D2-9D78-4CCEE6B8DB0D}" destId="{8CE365B3-C0C0-4535-A72A-97B20C0DE02B}" srcOrd="0" destOrd="0" presId="urn:microsoft.com/office/officeart/2005/8/layout/orgChart1"/>
    <dgm:cxn modelId="{91CEE73D-1A5F-466A-8D4B-1F1FF90753D7}" srcId="{66D98AAE-9BCB-436C-B89D-1E7EE104E348}" destId="{03913791-6852-43AC-8B5A-8E28ACD6D09D}" srcOrd="2" destOrd="0" parTransId="{09A272C9-B452-4720-911C-51C72BF8E5DF}" sibTransId="{23F4B41A-2523-4322-8EB7-417E82832124}"/>
    <dgm:cxn modelId="{13B0B4FB-3621-42DB-BCD3-072E11530C28}" type="presOf" srcId="{C51AEA4E-8C15-44EA-84D0-E7D1E90A0141}" destId="{44D1215C-E326-4723-A825-EF9D137E7AF2}" srcOrd="0" destOrd="0" presId="urn:microsoft.com/office/officeart/2005/8/layout/orgChart1"/>
    <dgm:cxn modelId="{82C8C77B-D47E-4F13-889A-88B2A3AC0551}" srcId="{AB1B3730-2782-4004-B682-5CC76763CCCA}" destId="{A32420D6-36E1-46A4-852B-F224EAE3F011}" srcOrd="2" destOrd="0" parTransId="{07717C49-6FB4-47BB-AFBA-B38DC37C1859}" sibTransId="{ACDB4381-C3DF-493F-8EEC-FBAEB04C6104}"/>
    <dgm:cxn modelId="{453F166A-A98B-4FF7-BE70-2285A772D306}" srcId="{B090FA82-89E9-4A3F-B33C-C8E675BCF537}" destId="{A3E70474-DEF2-473F-89AD-15A9B86D692C}" srcOrd="0" destOrd="0" parTransId="{8664E1A8-5E03-4E6E-A885-41049A681E6C}" sibTransId="{7DFB42E4-1597-47AF-8032-975AA803974B}"/>
    <dgm:cxn modelId="{481149F9-C938-4A72-AB6C-7FA1CCCFA4EC}" type="presOf" srcId="{0DEFD330-B137-4DAA-A938-699E03C778EA}" destId="{3E76C5F4-F02D-454F-80E6-E9E86BB8FB9F}" srcOrd="0" destOrd="0" presId="urn:microsoft.com/office/officeart/2005/8/layout/orgChart1"/>
    <dgm:cxn modelId="{DFFDA9B8-1FCA-4D63-9D11-7658538A7128}" type="presOf" srcId="{BDFC517F-AB05-4DF9-A8D5-608C2A440C56}" destId="{D12AAFD6-B2D7-4E6C-9674-6C34F17D6ED3}" srcOrd="0" destOrd="0" presId="urn:microsoft.com/office/officeart/2005/8/layout/orgChart1"/>
    <dgm:cxn modelId="{608831ED-ABBC-4914-A571-8649EE555D23}" type="presOf" srcId="{A2FF0EED-87E5-47E7-A985-8616B200772E}" destId="{50C92198-9DDE-4F6F-B2E3-C760450C586C}" srcOrd="0" destOrd="0" presId="urn:microsoft.com/office/officeart/2005/8/layout/orgChart1"/>
    <dgm:cxn modelId="{D98F2C5D-4A7C-40D2-BE11-A2B6911E73C9}" type="presOf" srcId="{C51AEA4E-8C15-44EA-84D0-E7D1E90A0141}" destId="{CB3044F3-1CF0-41DE-B582-6F7A2C8ADC78}" srcOrd="1" destOrd="0" presId="urn:microsoft.com/office/officeart/2005/8/layout/orgChart1"/>
    <dgm:cxn modelId="{0C450E4B-20EB-424E-B92A-D520AB001197}" type="presOf" srcId="{07717C49-6FB4-47BB-AFBA-B38DC37C1859}" destId="{D3397E37-0FBA-4D2D-A417-F4CD51842D74}" srcOrd="0" destOrd="0" presId="urn:microsoft.com/office/officeart/2005/8/layout/orgChart1"/>
    <dgm:cxn modelId="{52242260-9C6E-424F-80A1-5293F1BFCFBB}" srcId="{1A3C5B9C-DDB1-404E-9371-688437EEC9A3}" destId="{A3DFA7A1-764C-474B-B0D4-3DF0EB93137D}" srcOrd="0" destOrd="0" parTransId="{142DD30F-6088-46F0-A1EF-ED568EFA3B9A}" sibTransId="{84190815-183A-48A0-959F-2951DB9EE131}"/>
    <dgm:cxn modelId="{AFC500F6-68A7-469E-AB8F-3195556B0489}" srcId="{03B2766D-B00B-46DE-859E-CB030A6B692D}" destId="{79E86BC8-A3F6-47EF-A5FE-4CBB1C686F96}" srcOrd="1" destOrd="0" parTransId="{1B98EF0A-5133-4F8C-8147-CC6571285C84}" sibTransId="{5E12166E-31F7-4506-98B8-17C166BEE965}"/>
    <dgm:cxn modelId="{98165479-0FFC-4A28-A9F5-D124A7E7F88B}" srcId="{CE80B9DE-DC20-4F93-91C8-9EC3B0C34760}" destId="{73878CA9-DA68-4485-A2B6-69CAA0D18710}" srcOrd="0" destOrd="0" parTransId="{06A4315D-7584-48D2-9D78-4CCEE6B8DB0D}" sibTransId="{CCEC94F0-2F93-41BE-8BDC-FAFF04B2E46C}"/>
    <dgm:cxn modelId="{91E7C602-0DC0-48E9-843E-3356EB67C944}" type="presOf" srcId="{029EFF84-DD8A-435C-AE0C-BD3165C397AA}" destId="{FE94A82E-51D4-4AD2-AC60-68F8D2507BE3}" srcOrd="0" destOrd="0" presId="urn:microsoft.com/office/officeart/2005/8/layout/orgChart1"/>
    <dgm:cxn modelId="{474B9C3E-C639-4150-A2E3-B6CDEEBF64F4}" type="presOf" srcId="{39D9D838-F72E-4615-AC38-7475BBA4BF10}" destId="{12399A31-5E54-4C8E-8C8B-37DEF364D7F0}" srcOrd="1" destOrd="0" presId="urn:microsoft.com/office/officeart/2005/8/layout/orgChart1"/>
    <dgm:cxn modelId="{18CCF9BA-B648-43E0-84DF-1DD76EF7E2E7}" type="presOf" srcId="{8AC8C98E-2F47-442C-A093-B003113D3A33}" destId="{B1476D85-3C68-4C14-A925-7BF3394708F6}" srcOrd="0" destOrd="0" presId="urn:microsoft.com/office/officeart/2005/8/layout/orgChart1"/>
    <dgm:cxn modelId="{CE251224-71BB-4639-896F-6084AB464CD8}" type="presOf" srcId="{09A272C9-B452-4720-911C-51C72BF8E5DF}" destId="{506EC688-1F2F-4A32-A572-149D58A9A75E}" srcOrd="0" destOrd="0" presId="urn:microsoft.com/office/officeart/2005/8/layout/orgChart1"/>
    <dgm:cxn modelId="{77647B32-5FEC-480F-9FCB-ECA7F076959C}" srcId="{B090FA82-89E9-4A3F-B33C-C8E675BCF537}" destId="{0DEFD330-B137-4DAA-A938-699E03C778EA}" srcOrd="2" destOrd="0" parTransId="{8DFC040B-0381-4C8C-9451-07E58F4CF923}" sibTransId="{85F0078F-47A0-4928-B33F-53A298445561}"/>
    <dgm:cxn modelId="{0CEAD583-E328-4581-90D7-050CEAE0DE12}" type="presOf" srcId="{66D98AAE-9BCB-436C-B89D-1E7EE104E348}" destId="{38F560C6-0EE8-4B71-A89D-2DF9C8209DC0}" srcOrd="1" destOrd="0" presId="urn:microsoft.com/office/officeart/2005/8/layout/orgChart1"/>
    <dgm:cxn modelId="{E778B675-6774-4609-96A7-F44040D2FE39}" srcId="{39D9D838-F72E-4615-AC38-7475BBA4BF10}" destId="{03B2766D-B00B-46DE-859E-CB030A6B692D}" srcOrd="1" destOrd="0" parTransId="{115E4D05-C048-4C65-86E7-4A45299CF316}" sibTransId="{93AEEBA1-6384-45C5-9809-C2545F687D47}"/>
    <dgm:cxn modelId="{67F802ED-FCFA-4C5F-985D-21AECF78A455}" type="presOf" srcId="{8576D378-B33E-48A8-981E-E53A53B60005}" destId="{498C09F7-CCCF-4C5B-849E-D28906807E56}" srcOrd="0" destOrd="0" presId="urn:microsoft.com/office/officeart/2005/8/layout/orgChart1"/>
    <dgm:cxn modelId="{63381557-1942-4059-81B4-AAF3BCBB504D}" type="presOf" srcId="{73878CA9-DA68-4485-A2B6-69CAA0D18710}" destId="{EC8B8BA8-6182-4337-931A-FB86E42D45D5}" srcOrd="0" destOrd="0" presId="urn:microsoft.com/office/officeart/2005/8/layout/orgChart1"/>
    <dgm:cxn modelId="{4DFC3050-8F45-4007-9402-101995A60805}" srcId="{61D60A39-E0D3-4406-A610-4F67E620C80C}" destId="{BDFC517F-AB05-4DF9-A8D5-608C2A440C56}" srcOrd="0" destOrd="0" parTransId="{071E5E0E-C1E9-4E3D-9785-C92656DBF2B8}" sibTransId="{29FA1AF4-121D-40C6-BBD8-41BBA6B50B16}"/>
    <dgm:cxn modelId="{C330C856-2B3E-4808-860D-7E5AFD60141B}" type="presOf" srcId="{AB1B3730-2782-4004-B682-5CC76763CCCA}" destId="{E0E8A66C-86AE-4333-B38F-BDCB42BD2FE9}" srcOrd="0" destOrd="0" presId="urn:microsoft.com/office/officeart/2005/8/layout/orgChart1"/>
    <dgm:cxn modelId="{A7026053-1F7E-44D7-BA4B-C382EBA29DF6}" srcId="{A3DFA7A1-764C-474B-B0D4-3DF0EB93137D}" destId="{61D60A39-E0D3-4406-A610-4F67E620C80C}" srcOrd="0" destOrd="0" parTransId="{99F306E7-B961-4136-A257-0433EBF1C621}" sibTransId="{5CAB65DB-37D0-49C1-96B7-51A170AFEC3D}"/>
    <dgm:cxn modelId="{0FED9377-0292-499A-9CFA-A978EFA3177E}" type="presOf" srcId="{17DADB8B-DF7A-4BB2-9B85-462B4DE4271F}" destId="{5759F696-9D69-45CE-995D-8B6CB1314C82}" srcOrd="0" destOrd="0" presId="urn:microsoft.com/office/officeart/2005/8/layout/orgChart1"/>
    <dgm:cxn modelId="{0ACA7F31-F8F6-45A7-8459-5DE89D334126}" type="presOf" srcId="{39D9D838-F72E-4615-AC38-7475BBA4BF10}" destId="{6F45DB3F-0556-45C9-8C31-59C65DA2AA70}" srcOrd="0" destOrd="0" presId="urn:microsoft.com/office/officeart/2005/8/layout/orgChart1"/>
    <dgm:cxn modelId="{0B8184AC-B7B5-4C1F-813D-3649801005A6}" type="presOf" srcId="{0DEFD330-B137-4DAA-A938-699E03C778EA}" destId="{FAF1AC40-16AC-4487-83CA-4B4F5A6487CF}" srcOrd="1" destOrd="0" presId="urn:microsoft.com/office/officeart/2005/8/layout/orgChart1"/>
    <dgm:cxn modelId="{143B788D-BF48-4F55-99BA-EDC193481971}" srcId="{39D9D838-F72E-4615-AC38-7475BBA4BF10}" destId="{66D98AAE-9BCB-436C-B89D-1E7EE104E348}" srcOrd="2" destOrd="0" parTransId="{8576D378-B33E-48A8-981E-E53A53B60005}" sibTransId="{9A0D80F9-87E6-42E7-A129-E700F39AD315}"/>
    <dgm:cxn modelId="{56846A8F-4117-4986-95A5-071426BEA682}" type="presOf" srcId="{783FDC17-CDBB-443C-A2AD-9FA281A070CA}" destId="{9FE4EC48-F04A-4E22-A30A-53095A6A9342}" srcOrd="1" destOrd="0" presId="urn:microsoft.com/office/officeart/2005/8/layout/orgChart1"/>
    <dgm:cxn modelId="{E190D392-0024-4F13-8F5E-36ADB1A65BC7}" type="presOf" srcId="{2D07F186-CFD5-4108-B5E0-F458506A1C78}" destId="{8B054394-1CC4-4E14-A3C3-84549898A818}" srcOrd="0" destOrd="0" presId="urn:microsoft.com/office/officeart/2005/8/layout/orgChart1"/>
    <dgm:cxn modelId="{A956ED55-7707-43C8-9FE7-18362563C6D4}" type="presOf" srcId="{CE80B9DE-DC20-4F93-91C8-9EC3B0C34760}" destId="{24AABA29-B068-4F4B-8E9C-2FF7ADDD7605}" srcOrd="1" destOrd="0" presId="urn:microsoft.com/office/officeart/2005/8/layout/orgChart1"/>
    <dgm:cxn modelId="{A6EB44AD-B97C-4F8D-A86F-2DE1ACEEB69C}" type="presOf" srcId="{E46C61CF-3AD3-4724-BD8E-5FB00EF5BA9B}" destId="{01F114ED-FC5E-4410-8FFC-1559DDF942E2}" srcOrd="0" destOrd="0" presId="urn:microsoft.com/office/officeart/2005/8/layout/orgChart1"/>
    <dgm:cxn modelId="{EC0A9F23-359C-4A70-8103-6D35DCC6C5E5}" type="presOf" srcId="{73878CA9-DA68-4485-A2B6-69CAA0D18710}" destId="{26CA4F92-8ED2-4DA9-B9D1-1DC43398FBCD}" srcOrd="1" destOrd="0" presId="urn:microsoft.com/office/officeart/2005/8/layout/orgChart1"/>
    <dgm:cxn modelId="{9B5D87F7-4C3E-49CF-87DD-2C4E65790C99}" type="presOf" srcId="{61D60A39-E0D3-4406-A610-4F67E620C80C}" destId="{F3719CA2-F7E8-443E-BEFD-2545AC2350F4}" srcOrd="1" destOrd="0" presId="urn:microsoft.com/office/officeart/2005/8/layout/orgChart1"/>
    <dgm:cxn modelId="{1905A9B4-20FB-4D76-989C-6503B56AE181}" type="presOf" srcId="{A3E70474-DEF2-473F-89AD-15A9B86D692C}" destId="{435732D9-52DB-49A4-95E2-2908D73CCD35}" srcOrd="0" destOrd="0" presId="urn:microsoft.com/office/officeart/2005/8/layout/orgChart1"/>
    <dgm:cxn modelId="{C56429B3-B1F4-4D37-B74D-F77BE9C39CDC}" srcId="{39D9D838-F72E-4615-AC38-7475BBA4BF10}" destId="{B090FA82-89E9-4A3F-B33C-C8E675BCF537}" srcOrd="0" destOrd="0" parTransId="{D6CDD5F1-6C75-4594-BAE9-301EC1255FD5}" sibTransId="{977A121D-5654-43C8-8A63-E39324838B14}"/>
    <dgm:cxn modelId="{163F1B6A-6010-4A5D-9917-1A2221CFEBF2}" type="presOf" srcId="{1B98EF0A-5133-4F8C-8147-CC6571285C84}" destId="{FD422654-E334-4694-BF23-A9F6EA49B89A}" srcOrd="0" destOrd="0" presId="urn:microsoft.com/office/officeart/2005/8/layout/orgChart1"/>
    <dgm:cxn modelId="{C5295BEA-6B6A-439C-80CD-B7B8B24CB2EB}" type="presOf" srcId="{029EFF84-DD8A-435C-AE0C-BD3165C397AA}" destId="{642447DA-C04B-4E42-AAB9-8B05CB6593F0}" srcOrd="1" destOrd="0" presId="urn:microsoft.com/office/officeart/2005/8/layout/orgChart1"/>
    <dgm:cxn modelId="{20AAA22B-5BAC-4EA7-A3CF-DB49D12D2FC1}" srcId="{B090FA82-89E9-4A3F-B33C-C8E675BCF537}" destId="{783FDC17-CDBB-443C-A2AD-9FA281A070CA}" srcOrd="1" destOrd="0" parTransId="{17DADB8B-DF7A-4BB2-9B85-462B4DE4271F}" sibTransId="{7DAA21AB-1E61-42D7-8D08-269250A8C059}"/>
    <dgm:cxn modelId="{85909663-EEA3-41E1-9B34-92CEB2FE23E7}" type="presOf" srcId="{75278729-7E85-4C07-B9BB-4A3C1F515EA8}" destId="{652CC8FB-56CF-44BD-9C9B-0192BE5512F5}" srcOrd="0" destOrd="0" presId="urn:microsoft.com/office/officeart/2005/8/layout/orgChart1"/>
    <dgm:cxn modelId="{4C1FB4CE-8C64-4E94-AFDA-59680B7F60BC}" type="presOf" srcId="{BDFC517F-AB05-4DF9-A8D5-608C2A440C56}" destId="{C20AFA33-57D7-4591-A192-A1C1D564B610}" srcOrd="1" destOrd="0" presId="urn:microsoft.com/office/officeart/2005/8/layout/orgChart1"/>
    <dgm:cxn modelId="{15F5DC8F-1BE2-449E-99FF-F3C7E453C30B}" srcId="{A3DFA7A1-764C-474B-B0D4-3DF0EB93137D}" destId="{39D9D838-F72E-4615-AC38-7475BBA4BF10}" srcOrd="1" destOrd="0" parTransId="{75278729-7E85-4C07-B9BB-4A3C1F515EA8}" sibTransId="{DB6F379E-D469-41E4-B28A-CD2675C664C2}"/>
    <dgm:cxn modelId="{63369AB2-53C8-42D0-8B58-E9A2676B856F}" srcId="{66D98AAE-9BCB-436C-B89D-1E7EE104E348}" destId="{554DC1AC-70F0-4C3E-B7EC-5E8CA3569F95}" srcOrd="1" destOrd="0" parTransId="{2551816C-F1DC-4ECF-A444-1C06B3D42874}" sibTransId="{7D77AE86-6986-4EEC-AD18-3585686375BE}"/>
    <dgm:cxn modelId="{AF517F0D-EF2C-4604-954E-5F4FC136D161}" type="presOf" srcId="{554DC1AC-70F0-4C3E-B7EC-5E8CA3569F95}" destId="{296CA16D-C430-4F42-B15A-0F72C10944B1}" srcOrd="0" destOrd="0" presId="urn:microsoft.com/office/officeart/2005/8/layout/orgChart1"/>
    <dgm:cxn modelId="{8C0AD98B-DF19-49F1-A078-89BF514D8F1A}" type="presOf" srcId="{783FDC17-CDBB-443C-A2AD-9FA281A070CA}" destId="{F85AC64A-FDD5-4756-85ED-A62A9412C535}" srcOrd="0" destOrd="0" presId="urn:microsoft.com/office/officeart/2005/8/layout/orgChart1"/>
    <dgm:cxn modelId="{095A99A0-FBA2-48A9-B3BF-86ED32FC98C4}" type="presOf" srcId="{A3DFA7A1-764C-474B-B0D4-3DF0EB93137D}" destId="{3BF9615F-CF5E-42D0-ACE8-DF0068C7A2B9}" srcOrd="0" destOrd="0" presId="urn:microsoft.com/office/officeart/2005/8/layout/orgChart1"/>
    <dgm:cxn modelId="{9CC0B021-C6F6-4488-92A7-3761921F72BF}" srcId="{66D98AAE-9BCB-436C-B89D-1E7EE104E348}" destId="{765C8C11-88A9-4F34-A551-6847125F54FD}" srcOrd="0" destOrd="0" parTransId="{E46C61CF-3AD3-4724-BD8E-5FB00EF5BA9B}" sibTransId="{41C44633-BDC9-48DD-8AD3-7B79D68CE132}"/>
    <dgm:cxn modelId="{D9369799-5B25-431E-8734-40181FA665B4}" type="presOf" srcId="{554DC1AC-70F0-4C3E-B7EC-5E8CA3569F95}" destId="{A46C6446-7DA4-44B4-89F9-4B836BA1C770}" srcOrd="1" destOrd="0" presId="urn:microsoft.com/office/officeart/2005/8/layout/orgChart1"/>
    <dgm:cxn modelId="{B9569081-29F8-4DEE-B784-21DE42020B1C}" type="presOf" srcId="{03913791-6852-43AC-8B5A-8E28ACD6D09D}" destId="{0A118CD2-1860-49E3-B4A4-64B458A2CDBE}" srcOrd="1" destOrd="0" presId="urn:microsoft.com/office/officeart/2005/8/layout/orgChart1"/>
    <dgm:cxn modelId="{FD11420D-AB52-4F8A-9AC2-BD23C65981AC}" type="presOf" srcId="{A3E70474-DEF2-473F-89AD-15A9B86D692C}" destId="{C48AACFC-C511-4E2C-A382-C56D552E675B}" srcOrd="1" destOrd="0" presId="urn:microsoft.com/office/officeart/2005/8/layout/orgChart1"/>
    <dgm:cxn modelId="{A74340A8-EED1-43DD-B092-62DC31938564}" type="presOf" srcId="{806F4020-5633-4A1C-A202-81D7786B991F}" destId="{CE873677-3DD0-4241-9A49-0CCEC83EF20F}" srcOrd="0" destOrd="0" presId="urn:microsoft.com/office/officeart/2005/8/layout/orgChart1"/>
    <dgm:cxn modelId="{E9B65A76-1049-4552-9DFC-8D7F9C074C0F}" type="presOf" srcId="{765C8C11-88A9-4F34-A551-6847125F54FD}" destId="{455BCEAE-97F5-4F9A-81A7-1F63D082EC6A}" srcOrd="0" destOrd="0" presId="urn:microsoft.com/office/officeart/2005/8/layout/orgChart1"/>
    <dgm:cxn modelId="{D24DC251-A0B0-49EE-A737-40D3A10B97BD}" type="presOf" srcId="{FD24A803-D50B-4C9F-B4B7-4BF76B6A3817}" destId="{557837BA-3C57-4E71-9C07-CEE27509793F}" srcOrd="1" destOrd="0" presId="urn:microsoft.com/office/officeart/2005/8/layout/orgChart1"/>
    <dgm:cxn modelId="{272DEC6B-27AB-4E14-8AFF-10125E6ACA55}" type="presOf" srcId="{69FAD7D4-18E5-4E0F-8FAA-53B552C84FD0}" destId="{8E85DF20-E63C-490A-B78B-E85B189001DD}" srcOrd="0" destOrd="0" presId="urn:microsoft.com/office/officeart/2005/8/layout/orgChart1"/>
    <dgm:cxn modelId="{865F516A-2DFF-4E4E-916F-1BD49CD9300F}" type="presOf" srcId="{66D98AAE-9BCB-436C-B89D-1E7EE104E348}" destId="{9C046EB8-5B26-46D5-B2F5-633E52D17648}" srcOrd="0" destOrd="0" presId="urn:microsoft.com/office/officeart/2005/8/layout/orgChart1"/>
    <dgm:cxn modelId="{1410F874-78C2-44C8-A409-14B52D885ECA}" type="presOf" srcId="{611D67D0-421C-4C93-AD58-5AA6149A9C01}" destId="{D2EC7EDE-1A1B-4821-B292-E42D27E2B8E1}" srcOrd="0" destOrd="0" presId="urn:microsoft.com/office/officeart/2005/8/layout/orgChart1"/>
    <dgm:cxn modelId="{AB414BEF-F382-45DB-8947-00C45DDB9674}" type="presOf" srcId="{B090FA82-89E9-4A3F-B33C-C8E675BCF537}" destId="{E063D930-98F4-40AD-A68E-D8FEE920FA8C}" srcOrd="1" destOrd="0" presId="urn:microsoft.com/office/officeart/2005/8/layout/orgChart1"/>
    <dgm:cxn modelId="{086C54C2-E730-4A97-BFBC-B4B9544B6C24}" type="presOf" srcId="{03B2766D-B00B-46DE-859E-CB030A6B692D}" destId="{C5EC8F6A-5BBF-44C7-824D-DA33B406F423}" srcOrd="0" destOrd="0" presId="urn:microsoft.com/office/officeart/2005/8/layout/orgChart1"/>
    <dgm:cxn modelId="{C2ABA5D5-7126-447A-A96A-DF50CFF7FFC4}" type="presOf" srcId="{01322BD9-D15F-4A16-8C20-5622BD08C12D}" destId="{4C65E9EB-ECF4-445D-B6AF-9645AAF3322D}" srcOrd="1" destOrd="0" presId="urn:microsoft.com/office/officeart/2005/8/layout/orgChart1"/>
    <dgm:cxn modelId="{09646B63-7A25-46F6-9A4F-4320B4015A48}" srcId="{AB1B3730-2782-4004-B682-5CC76763CCCA}" destId="{01322BD9-D15F-4A16-8C20-5622BD08C12D}" srcOrd="0" destOrd="0" parTransId="{76E69C2A-FFC8-4443-966C-C26B375E2A8A}" sibTransId="{AA1A8335-A725-4ABF-84F9-527789472F6E}"/>
    <dgm:cxn modelId="{8733E12F-D6F1-412D-93B1-7547893FDE73}" type="presOf" srcId="{99F306E7-B961-4136-A257-0433EBF1C621}" destId="{4B5B732E-3C11-4F1F-8327-CCB8DD7885C0}" srcOrd="0" destOrd="0" presId="urn:microsoft.com/office/officeart/2005/8/layout/orgChart1"/>
    <dgm:cxn modelId="{C023A4B7-57DE-4A93-B778-E3B94C879C98}" type="presOf" srcId="{115E4D05-C048-4C65-86E7-4A45299CF316}" destId="{987C19A6-4A00-48A8-B138-8BE57D64A781}" srcOrd="0" destOrd="0" presId="urn:microsoft.com/office/officeart/2005/8/layout/orgChart1"/>
    <dgm:cxn modelId="{ED7C859E-25E1-4848-A82E-571886F81AE8}" type="presParOf" srcId="{1238D140-43FC-4451-8C04-513B17A582FB}" destId="{FB59589E-E7EC-4FF7-A887-B99CE7BBAFE0}" srcOrd="0" destOrd="0" presId="urn:microsoft.com/office/officeart/2005/8/layout/orgChart1"/>
    <dgm:cxn modelId="{F3025E22-8C24-463D-A035-A0A8EB915B09}" type="presParOf" srcId="{FB59589E-E7EC-4FF7-A887-B99CE7BBAFE0}" destId="{149F2368-720C-4098-8908-BE75BDB7D3F6}" srcOrd="0" destOrd="0" presId="urn:microsoft.com/office/officeart/2005/8/layout/orgChart1"/>
    <dgm:cxn modelId="{D52F6625-0E8D-4AB1-AC9D-E5B6DF08754C}" type="presParOf" srcId="{149F2368-720C-4098-8908-BE75BDB7D3F6}" destId="{3BF9615F-CF5E-42D0-ACE8-DF0068C7A2B9}" srcOrd="0" destOrd="0" presId="urn:microsoft.com/office/officeart/2005/8/layout/orgChart1"/>
    <dgm:cxn modelId="{EC53D12A-6F53-4B5B-A11D-C1D031A18212}" type="presParOf" srcId="{149F2368-720C-4098-8908-BE75BDB7D3F6}" destId="{BA9E7D27-EBFC-4B15-ACBE-056E84507A49}" srcOrd="1" destOrd="0" presId="urn:microsoft.com/office/officeart/2005/8/layout/orgChart1"/>
    <dgm:cxn modelId="{50EEC47B-FC10-486A-A597-558FD5EEA07E}" type="presParOf" srcId="{FB59589E-E7EC-4FF7-A887-B99CE7BBAFE0}" destId="{BAB3B760-596C-4FD7-B06B-9B544F176B7E}" srcOrd="1" destOrd="0" presId="urn:microsoft.com/office/officeart/2005/8/layout/orgChart1"/>
    <dgm:cxn modelId="{F6B8092B-AF6A-47A2-AB4D-382D4AF14904}" type="presParOf" srcId="{BAB3B760-596C-4FD7-B06B-9B544F176B7E}" destId="{4B5B732E-3C11-4F1F-8327-CCB8DD7885C0}" srcOrd="0" destOrd="0" presId="urn:microsoft.com/office/officeart/2005/8/layout/orgChart1"/>
    <dgm:cxn modelId="{963EB8F0-268B-46DD-858D-FA0CDAA1A83C}" type="presParOf" srcId="{BAB3B760-596C-4FD7-B06B-9B544F176B7E}" destId="{241A5F71-7505-4E7D-864F-53326A28A167}" srcOrd="1" destOrd="0" presId="urn:microsoft.com/office/officeart/2005/8/layout/orgChart1"/>
    <dgm:cxn modelId="{721E021F-5570-4CAD-A3BA-9C99877FC1FC}" type="presParOf" srcId="{241A5F71-7505-4E7D-864F-53326A28A167}" destId="{A0F5BDFE-5394-4B26-A0E7-53993EEF0939}" srcOrd="0" destOrd="0" presId="urn:microsoft.com/office/officeart/2005/8/layout/orgChart1"/>
    <dgm:cxn modelId="{D32005A2-AD0A-4130-A88E-2BF1E0289DA9}" type="presParOf" srcId="{A0F5BDFE-5394-4B26-A0E7-53993EEF0939}" destId="{1922EED1-1FD5-49E0-85D6-796288145450}" srcOrd="0" destOrd="0" presId="urn:microsoft.com/office/officeart/2005/8/layout/orgChart1"/>
    <dgm:cxn modelId="{E2177896-F334-4BF8-97F0-482A1A7FF751}" type="presParOf" srcId="{A0F5BDFE-5394-4B26-A0E7-53993EEF0939}" destId="{F3719CA2-F7E8-443E-BEFD-2545AC2350F4}" srcOrd="1" destOrd="0" presId="urn:microsoft.com/office/officeart/2005/8/layout/orgChart1"/>
    <dgm:cxn modelId="{582B3BAF-7BFD-4659-8ABA-AFFEE682E5BF}" type="presParOf" srcId="{241A5F71-7505-4E7D-864F-53326A28A167}" destId="{86BDD4F1-1E82-4936-B593-E24D26FA16E9}" srcOrd="1" destOrd="0" presId="urn:microsoft.com/office/officeart/2005/8/layout/orgChart1"/>
    <dgm:cxn modelId="{D3278C6B-292D-467B-802E-55587F8EC85F}" type="presParOf" srcId="{86BDD4F1-1E82-4936-B593-E24D26FA16E9}" destId="{4E729864-9732-46A2-8955-878D6EB53D9C}" srcOrd="0" destOrd="0" presId="urn:microsoft.com/office/officeart/2005/8/layout/orgChart1"/>
    <dgm:cxn modelId="{700DE1CB-96E6-446D-AB0F-B42E441D7873}" type="presParOf" srcId="{86BDD4F1-1E82-4936-B593-E24D26FA16E9}" destId="{4E5340FA-9634-4E68-8354-9556CDC1A638}" srcOrd="1" destOrd="0" presId="urn:microsoft.com/office/officeart/2005/8/layout/orgChart1"/>
    <dgm:cxn modelId="{C7CD3CDB-063D-435D-9326-0734E7ED306D}" type="presParOf" srcId="{4E5340FA-9634-4E68-8354-9556CDC1A638}" destId="{FB4C39D0-C11E-404C-B5A3-760417A9EA52}" srcOrd="0" destOrd="0" presId="urn:microsoft.com/office/officeart/2005/8/layout/orgChart1"/>
    <dgm:cxn modelId="{A865471D-69F2-4490-8793-1AE797AE2BA0}" type="presParOf" srcId="{FB4C39D0-C11E-404C-B5A3-760417A9EA52}" destId="{D12AAFD6-B2D7-4E6C-9674-6C34F17D6ED3}" srcOrd="0" destOrd="0" presId="urn:microsoft.com/office/officeart/2005/8/layout/orgChart1"/>
    <dgm:cxn modelId="{37686AF1-9086-4425-9866-AACC6159D5AF}" type="presParOf" srcId="{FB4C39D0-C11E-404C-B5A3-760417A9EA52}" destId="{C20AFA33-57D7-4591-A192-A1C1D564B610}" srcOrd="1" destOrd="0" presId="urn:microsoft.com/office/officeart/2005/8/layout/orgChart1"/>
    <dgm:cxn modelId="{3E978FFA-FD19-4413-815A-B14CD10B31C4}" type="presParOf" srcId="{4E5340FA-9634-4E68-8354-9556CDC1A638}" destId="{0D18B661-724A-4C6C-A3AB-5386BE82E2F7}" srcOrd="1" destOrd="0" presId="urn:microsoft.com/office/officeart/2005/8/layout/orgChart1"/>
    <dgm:cxn modelId="{4C3E53F4-70CE-4E1F-8A01-9421C9E93613}" type="presParOf" srcId="{4E5340FA-9634-4E68-8354-9556CDC1A638}" destId="{D0DD2F95-F82E-4277-AC3B-0F987D8B3C11}" srcOrd="2" destOrd="0" presId="urn:microsoft.com/office/officeart/2005/8/layout/orgChart1"/>
    <dgm:cxn modelId="{B3C0538E-14C1-447F-8D5F-F711D10DDD02}" type="presParOf" srcId="{86BDD4F1-1E82-4936-B593-E24D26FA16E9}" destId="{D2EC7EDE-1A1B-4821-B292-E42D27E2B8E1}" srcOrd="2" destOrd="0" presId="urn:microsoft.com/office/officeart/2005/8/layout/orgChart1"/>
    <dgm:cxn modelId="{14A5C4CD-0D3F-49BA-A16A-E40C1F5DEB02}" type="presParOf" srcId="{86BDD4F1-1E82-4936-B593-E24D26FA16E9}" destId="{E85FA2A5-F989-4206-9B20-83B5B8826529}" srcOrd="3" destOrd="0" presId="urn:microsoft.com/office/officeart/2005/8/layout/orgChart1"/>
    <dgm:cxn modelId="{2F0EA704-E98D-4A15-9D1A-1FB1AEACD47A}" type="presParOf" srcId="{E85FA2A5-F989-4206-9B20-83B5B8826529}" destId="{D0B492E7-AF54-4B80-80C5-1236AADACF98}" srcOrd="0" destOrd="0" presId="urn:microsoft.com/office/officeart/2005/8/layout/orgChart1"/>
    <dgm:cxn modelId="{96288FD0-2837-4F50-ADEC-7F992E6BFE97}" type="presParOf" srcId="{D0B492E7-AF54-4B80-80C5-1236AADACF98}" destId="{FE94A82E-51D4-4AD2-AC60-68F8D2507BE3}" srcOrd="0" destOrd="0" presId="urn:microsoft.com/office/officeart/2005/8/layout/orgChart1"/>
    <dgm:cxn modelId="{9079726F-E39F-4F99-95C2-901325FC952E}" type="presParOf" srcId="{D0B492E7-AF54-4B80-80C5-1236AADACF98}" destId="{642447DA-C04B-4E42-AAB9-8B05CB6593F0}" srcOrd="1" destOrd="0" presId="urn:microsoft.com/office/officeart/2005/8/layout/orgChart1"/>
    <dgm:cxn modelId="{36D066B2-A676-45E0-BECC-AB26733A347F}" type="presParOf" srcId="{E85FA2A5-F989-4206-9B20-83B5B8826529}" destId="{F4A647BC-08ED-4A6E-B2F4-26B2169FEC36}" srcOrd="1" destOrd="0" presId="urn:microsoft.com/office/officeart/2005/8/layout/orgChart1"/>
    <dgm:cxn modelId="{4D55C2F0-4431-49A9-B658-4F47BD13DBC7}" type="presParOf" srcId="{E85FA2A5-F989-4206-9B20-83B5B8826529}" destId="{06B6C4D2-5896-4DEF-8713-A23B6D9A0B11}" srcOrd="2" destOrd="0" presId="urn:microsoft.com/office/officeart/2005/8/layout/orgChart1"/>
    <dgm:cxn modelId="{F580443A-8B18-4101-B50B-50C7E3944AC1}" type="presParOf" srcId="{241A5F71-7505-4E7D-864F-53326A28A167}" destId="{BC94AD71-CA97-4608-9A96-087EA8B7CA8D}" srcOrd="2" destOrd="0" presId="urn:microsoft.com/office/officeart/2005/8/layout/orgChart1"/>
    <dgm:cxn modelId="{EEB67535-302E-4187-B3D7-03A3E922BDE2}" type="presParOf" srcId="{BAB3B760-596C-4FD7-B06B-9B544F176B7E}" destId="{652CC8FB-56CF-44BD-9C9B-0192BE5512F5}" srcOrd="2" destOrd="0" presId="urn:microsoft.com/office/officeart/2005/8/layout/orgChart1"/>
    <dgm:cxn modelId="{0BB7D315-3B40-4C20-B461-7D4D2863D2CC}" type="presParOf" srcId="{BAB3B760-596C-4FD7-B06B-9B544F176B7E}" destId="{3041D4B0-9369-465B-8D57-5CE95A37FD14}" srcOrd="3" destOrd="0" presId="urn:microsoft.com/office/officeart/2005/8/layout/orgChart1"/>
    <dgm:cxn modelId="{C0B962D8-5499-4F28-B9F4-4CDF736BB056}" type="presParOf" srcId="{3041D4B0-9369-465B-8D57-5CE95A37FD14}" destId="{93C7EFF8-E3AF-4327-845A-AC18AEA25A93}" srcOrd="0" destOrd="0" presId="urn:microsoft.com/office/officeart/2005/8/layout/orgChart1"/>
    <dgm:cxn modelId="{AEA1DA6E-29D4-4F30-9343-DBA8DB2B56B8}" type="presParOf" srcId="{93C7EFF8-E3AF-4327-845A-AC18AEA25A93}" destId="{6F45DB3F-0556-45C9-8C31-59C65DA2AA70}" srcOrd="0" destOrd="0" presId="urn:microsoft.com/office/officeart/2005/8/layout/orgChart1"/>
    <dgm:cxn modelId="{DBCD9E04-C8D0-4625-BFC9-9294A399F27D}" type="presParOf" srcId="{93C7EFF8-E3AF-4327-845A-AC18AEA25A93}" destId="{12399A31-5E54-4C8E-8C8B-37DEF364D7F0}" srcOrd="1" destOrd="0" presId="urn:microsoft.com/office/officeart/2005/8/layout/orgChart1"/>
    <dgm:cxn modelId="{6346BB21-A624-4976-B74E-D2F4C89633A6}" type="presParOf" srcId="{3041D4B0-9369-465B-8D57-5CE95A37FD14}" destId="{4DC68347-81B9-4F35-B40D-6BF7887668FA}" srcOrd="1" destOrd="0" presId="urn:microsoft.com/office/officeart/2005/8/layout/orgChart1"/>
    <dgm:cxn modelId="{38418A85-6F78-4EF9-A9FB-4595D2471117}" type="presParOf" srcId="{4DC68347-81B9-4F35-B40D-6BF7887668FA}" destId="{55CB5CD9-BCDB-42BD-966A-3AED8A0EA9E6}" srcOrd="0" destOrd="0" presId="urn:microsoft.com/office/officeart/2005/8/layout/orgChart1"/>
    <dgm:cxn modelId="{E0AE38B4-8DFA-4542-A6FE-ADEDC4B3D84E}" type="presParOf" srcId="{4DC68347-81B9-4F35-B40D-6BF7887668FA}" destId="{6B7E1796-01CA-49A7-AEF6-EF1DE015FDC2}" srcOrd="1" destOrd="0" presId="urn:microsoft.com/office/officeart/2005/8/layout/orgChart1"/>
    <dgm:cxn modelId="{461F59B3-A507-4D71-8240-3C2BACAD028B}" type="presParOf" srcId="{6B7E1796-01CA-49A7-AEF6-EF1DE015FDC2}" destId="{6F431EB7-B8FF-4FA1-AEB2-F528169211EB}" srcOrd="0" destOrd="0" presId="urn:microsoft.com/office/officeart/2005/8/layout/orgChart1"/>
    <dgm:cxn modelId="{4D6E3E01-EEFB-457D-8533-5A3A62D601DC}" type="presParOf" srcId="{6F431EB7-B8FF-4FA1-AEB2-F528169211EB}" destId="{BCEC5F52-F569-44E9-9ED4-60EC00F58C3F}" srcOrd="0" destOrd="0" presId="urn:microsoft.com/office/officeart/2005/8/layout/orgChart1"/>
    <dgm:cxn modelId="{7E83CAC5-8409-4F96-A38F-4AD8A14C6F27}" type="presParOf" srcId="{6F431EB7-B8FF-4FA1-AEB2-F528169211EB}" destId="{E063D930-98F4-40AD-A68E-D8FEE920FA8C}" srcOrd="1" destOrd="0" presId="urn:microsoft.com/office/officeart/2005/8/layout/orgChart1"/>
    <dgm:cxn modelId="{2A940AB7-E230-4797-BC1B-55824DEABB9E}" type="presParOf" srcId="{6B7E1796-01CA-49A7-AEF6-EF1DE015FDC2}" destId="{804F6A28-14D7-414A-9107-9E65082A67DC}" srcOrd="1" destOrd="0" presId="urn:microsoft.com/office/officeart/2005/8/layout/orgChart1"/>
    <dgm:cxn modelId="{2A710378-C64C-4277-8CC4-31F3CF9A87CC}" type="presParOf" srcId="{804F6A28-14D7-414A-9107-9E65082A67DC}" destId="{606BDBBB-67A7-47D0-8713-3064D6764B24}" srcOrd="0" destOrd="0" presId="urn:microsoft.com/office/officeart/2005/8/layout/orgChart1"/>
    <dgm:cxn modelId="{0E1D0E3B-1D04-46BF-8183-126DD985E0F0}" type="presParOf" srcId="{804F6A28-14D7-414A-9107-9E65082A67DC}" destId="{4A9236E4-5065-490B-BBE3-835DC1CD6C53}" srcOrd="1" destOrd="0" presId="urn:microsoft.com/office/officeart/2005/8/layout/orgChart1"/>
    <dgm:cxn modelId="{E7E9D58E-69A6-4FDA-A334-B264DA092F58}" type="presParOf" srcId="{4A9236E4-5065-490B-BBE3-835DC1CD6C53}" destId="{3CAA11F4-5C55-47D8-AC30-0E08EA4C581A}" srcOrd="0" destOrd="0" presId="urn:microsoft.com/office/officeart/2005/8/layout/orgChart1"/>
    <dgm:cxn modelId="{86DCC5F6-88CE-4D53-8229-2D00FBDD5EF4}" type="presParOf" srcId="{3CAA11F4-5C55-47D8-AC30-0E08EA4C581A}" destId="{435732D9-52DB-49A4-95E2-2908D73CCD35}" srcOrd="0" destOrd="0" presId="urn:microsoft.com/office/officeart/2005/8/layout/orgChart1"/>
    <dgm:cxn modelId="{33B1236E-3E60-4FFD-8330-89A1421C55D0}" type="presParOf" srcId="{3CAA11F4-5C55-47D8-AC30-0E08EA4C581A}" destId="{C48AACFC-C511-4E2C-A382-C56D552E675B}" srcOrd="1" destOrd="0" presId="urn:microsoft.com/office/officeart/2005/8/layout/orgChart1"/>
    <dgm:cxn modelId="{319643BB-5320-4E1C-B814-70A765AE5176}" type="presParOf" srcId="{4A9236E4-5065-490B-BBE3-835DC1CD6C53}" destId="{D950820E-1574-4BA4-ADFE-811A635845AD}" srcOrd="1" destOrd="0" presId="urn:microsoft.com/office/officeart/2005/8/layout/orgChart1"/>
    <dgm:cxn modelId="{435BABF1-BCB0-4A13-949C-2A672B289841}" type="presParOf" srcId="{4A9236E4-5065-490B-BBE3-835DC1CD6C53}" destId="{0D0F7848-375B-4D6B-B26A-BE78B014FF47}" srcOrd="2" destOrd="0" presId="urn:microsoft.com/office/officeart/2005/8/layout/orgChart1"/>
    <dgm:cxn modelId="{480FC315-CB4F-49A0-8C92-3A63B6E42FF6}" type="presParOf" srcId="{804F6A28-14D7-414A-9107-9E65082A67DC}" destId="{5759F696-9D69-45CE-995D-8B6CB1314C82}" srcOrd="2" destOrd="0" presId="urn:microsoft.com/office/officeart/2005/8/layout/orgChart1"/>
    <dgm:cxn modelId="{917BDDA5-9400-43F7-B47C-20F968D218D6}" type="presParOf" srcId="{804F6A28-14D7-414A-9107-9E65082A67DC}" destId="{11BE6C6D-F7D0-4CC6-8C73-7460168A25B0}" srcOrd="3" destOrd="0" presId="urn:microsoft.com/office/officeart/2005/8/layout/orgChart1"/>
    <dgm:cxn modelId="{FB5AFF67-C18B-478F-95B6-FB791A2E6C98}" type="presParOf" srcId="{11BE6C6D-F7D0-4CC6-8C73-7460168A25B0}" destId="{1CF62C20-33CD-4236-8BB3-ADF07AC48277}" srcOrd="0" destOrd="0" presId="urn:microsoft.com/office/officeart/2005/8/layout/orgChart1"/>
    <dgm:cxn modelId="{91F29439-6650-49B0-935B-5DF0C8EB4B90}" type="presParOf" srcId="{1CF62C20-33CD-4236-8BB3-ADF07AC48277}" destId="{F85AC64A-FDD5-4756-85ED-A62A9412C535}" srcOrd="0" destOrd="0" presId="urn:microsoft.com/office/officeart/2005/8/layout/orgChart1"/>
    <dgm:cxn modelId="{66A68BE8-6A64-46EB-A239-E41DB1AA2C3A}" type="presParOf" srcId="{1CF62C20-33CD-4236-8BB3-ADF07AC48277}" destId="{9FE4EC48-F04A-4E22-A30A-53095A6A9342}" srcOrd="1" destOrd="0" presId="urn:microsoft.com/office/officeart/2005/8/layout/orgChart1"/>
    <dgm:cxn modelId="{2318C1E7-5A30-4765-A8EE-E9EDBCA3EDCD}" type="presParOf" srcId="{11BE6C6D-F7D0-4CC6-8C73-7460168A25B0}" destId="{E835C2B2-3B8B-4627-82C7-FB6AA3869556}" srcOrd="1" destOrd="0" presId="urn:microsoft.com/office/officeart/2005/8/layout/orgChart1"/>
    <dgm:cxn modelId="{C826BD03-145C-4D24-951F-117A4BF3C983}" type="presParOf" srcId="{11BE6C6D-F7D0-4CC6-8C73-7460168A25B0}" destId="{FD09D679-551F-4ADA-B47A-863D6A8AEBA7}" srcOrd="2" destOrd="0" presId="urn:microsoft.com/office/officeart/2005/8/layout/orgChart1"/>
    <dgm:cxn modelId="{8B5DFC66-C5FB-42F2-8565-C1A1419187E2}" type="presParOf" srcId="{804F6A28-14D7-414A-9107-9E65082A67DC}" destId="{CD7F8F63-CBDF-415E-821F-8148D125DB90}" srcOrd="4" destOrd="0" presId="urn:microsoft.com/office/officeart/2005/8/layout/orgChart1"/>
    <dgm:cxn modelId="{48C00D9B-872E-4928-8ACC-171E3665E11F}" type="presParOf" srcId="{804F6A28-14D7-414A-9107-9E65082A67DC}" destId="{C10FBD43-11CA-4EF8-819C-AB60814A3E65}" srcOrd="5" destOrd="0" presId="urn:microsoft.com/office/officeart/2005/8/layout/orgChart1"/>
    <dgm:cxn modelId="{24DF983B-037E-4A90-99DD-223BBF0E05C6}" type="presParOf" srcId="{C10FBD43-11CA-4EF8-819C-AB60814A3E65}" destId="{B60ABD73-1BA2-4194-BF81-8F3408122ECF}" srcOrd="0" destOrd="0" presId="urn:microsoft.com/office/officeart/2005/8/layout/orgChart1"/>
    <dgm:cxn modelId="{BA044178-2442-4254-BB80-F23578B4FDDB}" type="presParOf" srcId="{B60ABD73-1BA2-4194-BF81-8F3408122ECF}" destId="{3E76C5F4-F02D-454F-80E6-E9E86BB8FB9F}" srcOrd="0" destOrd="0" presId="urn:microsoft.com/office/officeart/2005/8/layout/orgChart1"/>
    <dgm:cxn modelId="{27C89FA6-3941-49BB-AF80-5C13C71AE5CD}" type="presParOf" srcId="{B60ABD73-1BA2-4194-BF81-8F3408122ECF}" destId="{FAF1AC40-16AC-4487-83CA-4B4F5A6487CF}" srcOrd="1" destOrd="0" presId="urn:microsoft.com/office/officeart/2005/8/layout/orgChart1"/>
    <dgm:cxn modelId="{F31BF531-CF13-44CB-8A2C-5D9A63403CBB}" type="presParOf" srcId="{C10FBD43-11CA-4EF8-819C-AB60814A3E65}" destId="{3736E81D-7EE2-42C8-B8D3-6C694653CE24}" srcOrd="1" destOrd="0" presId="urn:microsoft.com/office/officeart/2005/8/layout/orgChart1"/>
    <dgm:cxn modelId="{523CD734-AB17-4A3B-89CB-8C4B4507A9F5}" type="presParOf" srcId="{C10FBD43-11CA-4EF8-819C-AB60814A3E65}" destId="{15EEB63F-4F05-4373-B5D5-B91746BBC1B8}" srcOrd="2" destOrd="0" presId="urn:microsoft.com/office/officeart/2005/8/layout/orgChart1"/>
    <dgm:cxn modelId="{7D934BAF-FC82-4B1D-B9B6-6CCED7E9C850}" type="presParOf" srcId="{6B7E1796-01CA-49A7-AEF6-EF1DE015FDC2}" destId="{9B1C66E5-22FC-4305-A3A4-203658435588}" srcOrd="2" destOrd="0" presId="urn:microsoft.com/office/officeart/2005/8/layout/orgChart1"/>
    <dgm:cxn modelId="{CD6CAA37-C483-4982-BFE6-39A2BA1F11D0}" type="presParOf" srcId="{4DC68347-81B9-4F35-B40D-6BF7887668FA}" destId="{987C19A6-4A00-48A8-B138-8BE57D64A781}" srcOrd="2" destOrd="0" presId="urn:microsoft.com/office/officeart/2005/8/layout/orgChart1"/>
    <dgm:cxn modelId="{943C9269-8171-46D5-A3F9-5A800E6439A0}" type="presParOf" srcId="{4DC68347-81B9-4F35-B40D-6BF7887668FA}" destId="{2AFD9E38-91D8-4986-B4A1-A5414103C857}" srcOrd="3" destOrd="0" presId="urn:microsoft.com/office/officeart/2005/8/layout/orgChart1"/>
    <dgm:cxn modelId="{DB4D7BDE-ED77-4BBA-802A-AE9F4A3D03CF}" type="presParOf" srcId="{2AFD9E38-91D8-4986-B4A1-A5414103C857}" destId="{F5AB4051-8AB8-447B-9D97-762C522F2C20}" srcOrd="0" destOrd="0" presId="urn:microsoft.com/office/officeart/2005/8/layout/orgChart1"/>
    <dgm:cxn modelId="{F9A960FD-45B8-4BC1-B5C3-010698A93975}" type="presParOf" srcId="{F5AB4051-8AB8-447B-9D97-762C522F2C20}" destId="{C5EC8F6A-5BBF-44C7-824D-DA33B406F423}" srcOrd="0" destOrd="0" presId="urn:microsoft.com/office/officeart/2005/8/layout/orgChart1"/>
    <dgm:cxn modelId="{D4E6E2FC-AF2A-4FDE-93F6-C7CBADEAB2CA}" type="presParOf" srcId="{F5AB4051-8AB8-447B-9D97-762C522F2C20}" destId="{D13F497C-8609-4CB0-BC8B-7E5B38BC2300}" srcOrd="1" destOrd="0" presId="urn:microsoft.com/office/officeart/2005/8/layout/orgChart1"/>
    <dgm:cxn modelId="{F9FC315E-3AA4-4BA8-ADE6-1592E812A1A6}" type="presParOf" srcId="{2AFD9E38-91D8-4986-B4A1-A5414103C857}" destId="{C9A0D69A-1BB5-4BAE-809C-D87E7203AC04}" srcOrd="1" destOrd="0" presId="urn:microsoft.com/office/officeart/2005/8/layout/orgChart1"/>
    <dgm:cxn modelId="{91680C7B-17C8-4D00-8393-402EF78FCDC7}" type="presParOf" srcId="{C9A0D69A-1BB5-4BAE-809C-D87E7203AC04}" destId="{8E85DF20-E63C-490A-B78B-E85B189001DD}" srcOrd="0" destOrd="0" presId="urn:microsoft.com/office/officeart/2005/8/layout/orgChart1"/>
    <dgm:cxn modelId="{A211E057-8A4B-4696-904C-6FCBB81D13F8}" type="presParOf" srcId="{C9A0D69A-1BB5-4BAE-809C-D87E7203AC04}" destId="{3198638A-8277-47AE-8984-5F21C4DF79B1}" srcOrd="1" destOrd="0" presId="urn:microsoft.com/office/officeart/2005/8/layout/orgChart1"/>
    <dgm:cxn modelId="{9EB1D352-FA6B-457E-9902-B5E2D8F99ECA}" type="presParOf" srcId="{3198638A-8277-47AE-8984-5F21C4DF79B1}" destId="{01595044-A9C3-4480-9CCB-436ACE2B1762}" srcOrd="0" destOrd="0" presId="urn:microsoft.com/office/officeart/2005/8/layout/orgChart1"/>
    <dgm:cxn modelId="{6BCDBB59-C589-45FE-B45E-90DEA615F5FE}" type="presParOf" srcId="{01595044-A9C3-4480-9CCB-436ACE2B1762}" destId="{1DB5B43E-7BD2-48CB-9BB2-EDD0459A3E40}" srcOrd="0" destOrd="0" presId="urn:microsoft.com/office/officeart/2005/8/layout/orgChart1"/>
    <dgm:cxn modelId="{A37A820D-9F6D-4452-AE58-B6F1EB8510D3}" type="presParOf" srcId="{01595044-A9C3-4480-9CCB-436ACE2B1762}" destId="{557837BA-3C57-4E71-9C07-CEE27509793F}" srcOrd="1" destOrd="0" presId="urn:microsoft.com/office/officeart/2005/8/layout/orgChart1"/>
    <dgm:cxn modelId="{62310A77-9376-4A89-9EFF-A75E8363786D}" type="presParOf" srcId="{3198638A-8277-47AE-8984-5F21C4DF79B1}" destId="{76FDBE50-E609-4A6B-B5E4-A3E7FB2E6F76}" srcOrd="1" destOrd="0" presId="urn:microsoft.com/office/officeart/2005/8/layout/orgChart1"/>
    <dgm:cxn modelId="{84C5EE07-320B-4E89-A14B-2D23C8FDCCE3}" type="presParOf" srcId="{3198638A-8277-47AE-8984-5F21C4DF79B1}" destId="{89B5CD2D-8204-4532-BBAB-A8C53A775952}" srcOrd="2" destOrd="0" presId="urn:microsoft.com/office/officeart/2005/8/layout/orgChart1"/>
    <dgm:cxn modelId="{722BB35A-817B-44C6-9729-00F2C997FF40}" type="presParOf" srcId="{C9A0D69A-1BB5-4BAE-809C-D87E7203AC04}" destId="{FD422654-E334-4694-BF23-A9F6EA49B89A}" srcOrd="2" destOrd="0" presId="urn:microsoft.com/office/officeart/2005/8/layout/orgChart1"/>
    <dgm:cxn modelId="{0DE0092A-BC83-4A87-A729-121B52A5ECEE}" type="presParOf" srcId="{C9A0D69A-1BB5-4BAE-809C-D87E7203AC04}" destId="{FCB654D9-5A8A-4138-97EE-C901CAACF2CF}" srcOrd="3" destOrd="0" presId="urn:microsoft.com/office/officeart/2005/8/layout/orgChart1"/>
    <dgm:cxn modelId="{9C004844-02DD-413A-94EC-DA6B4589A07D}" type="presParOf" srcId="{FCB654D9-5A8A-4138-97EE-C901CAACF2CF}" destId="{E6AE4FE2-78DC-4866-B5B9-8F39DCCED097}" srcOrd="0" destOrd="0" presId="urn:microsoft.com/office/officeart/2005/8/layout/orgChart1"/>
    <dgm:cxn modelId="{6167E2E0-B6DB-438B-BF2A-6F579CDC232D}" type="presParOf" srcId="{E6AE4FE2-78DC-4866-B5B9-8F39DCCED097}" destId="{05CF6281-B01F-4925-A308-F51761C7632F}" srcOrd="0" destOrd="0" presId="urn:microsoft.com/office/officeart/2005/8/layout/orgChart1"/>
    <dgm:cxn modelId="{4EA13A4D-3DE6-47FC-8FD2-9FB4F8898DBA}" type="presParOf" srcId="{E6AE4FE2-78DC-4866-B5B9-8F39DCCED097}" destId="{F620F91B-0B4E-4EDE-9156-71713C6C83F1}" srcOrd="1" destOrd="0" presId="urn:microsoft.com/office/officeart/2005/8/layout/orgChart1"/>
    <dgm:cxn modelId="{6044CA32-D521-4164-B631-F75E8B3A1FCB}" type="presParOf" srcId="{FCB654D9-5A8A-4138-97EE-C901CAACF2CF}" destId="{56679BF6-C4B2-4F54-8A82-608891969D0A}" srcOrd="1" destOrd="0" presId="urn:microsoft.com/office/officeart/2005/8/layout/orgChart1"/>
    <dgm:cxn modelId="{2CDAF30B-69C8-45D1-960D-F386E71135D3}" type="presParOf" srcId="{FCB654D9-5A8A-4138-97EE-C901CAACF2CF}" destId="{087B3907-CF3E-482B-8C3D-BEF0F4DA05F6}" srcOrd="2" destOrd="0" presId="urn:microsoft.com/office/officeart/2005/8/layout/orgChart1"/>
    <dgm:cxn modelId="{17A39F92-BAF3-471E-B6B0-E2BBAE90FF52}" type="presParOf" srcId="{2AFD9E38-91D8-4986-B4A1-A5414103C857}" destId="{21EBCC79-7FBA-4367-976F-E0FEB5E7C694}" srcOrd="2" destOrd="0" presId="urn:microsoft.com/office/officeart/2005/8/layout/orgChart1"/>
    <dgm:cxn modelId="{38331F3B-95E7-423C-BE0D-F99BA2AB40A0}" type="presParOf" srcId="{4DC68347-81B9-4F35-B40D-6BF7887668FA}" destId="{498C09F7-CCCF-4C5B-849E-D28906807E56}" srcOrd="4" destOrd="0" presId="urn:microsoft.com/office/officeart/2005/8/layout/orgChart1"/>
    <dgm:cxn modelId="{4EE930F3-8141-49C4-8EAF-C17DCC08040B}" type="presParOf" srcId="{4DC68347-81B9-4F35-B40D-6BF7887668FA}" destId="{B3564B60-3F05-4B46-996F-9308C6EB20AD}" srcOrd="5" destOrd="0" presId="urn:microsoft.com/office/officeart/2005/8/layout/orgChart1"/>
    <dgm:cxn modelId="{3219D729-3FDB-4F6B-AF43-A0E4D73091A6}" type="presParOf" srcId="{B3564B60-3F05-4B46-996F-9308C6EB20AD}" destId="{D20E1FEE-28C2-48E1-B029-826FF66CF106}" srcOrd="0" destOrd="0" presId="urn:microsoft.com/office/officeart/2005/8/layout/orgChart1"/>
    <dgm:cxn modelId="{6E15CDEE-BD15-4AF5-BD4C-871E7108750B}" type="presParOf" srcId="{D20E1FEE-28C2-48E1-B029-826FF66CF106}" destId="{9C046EB8-5B26-46D5-B2F5-633E52D17648}" srcOrd="0" destOrd="0" presId="urn:microsoft.com/office/officeart/2005/8/layout/orgChart1"/>
    <dgm:cxn modelId="{CCFF6E4E-C47F-4D8B-B507-17BBD90E9D17}" type="presParOf" srcId="{D20E1FEE-28C2-48E1-B029-826FF66CF106}" destId="{38F560C6-0EE8-4B71-A89D-2DF9C8209DC0}" srcOrd="1" destOrd="0" presId="urn:microsoft.com/office/officeart/2005/8/layout/orgChart1"/>
    <dgm:cxn modelId="{2E1C3F8B-0308-4BD7-9CB7-2CE6C335B4E9}" type="presParOf" srcId="{B3564B60-3F05-4B46-996F-9308C6EB20AD}" destId="{394917C4-0528-4048-B1B9-6DF89718F02A}" srcOrd="1" destOrd="0" presId="urn:microsoft.com/office/officeart/2005/8/layout/orgChart1"/>
    <dgm:cxn modelId="{15DC0B0B-63CD-47F6-B54E-76AEA90152E6}" type="presParOf" srcId="{394917C4-0528-4048-B1B9-6DF89718F02A}" destId="{01F114ED-FC5E-4410-8FFC-1559DDF942E2}" srcOrd="0" destOrd="0" presId="urn:microsoft.com/office/officeart/2005/8/layout/orgChart1"/>
    <dgm:cxn modelId="{EA50B826-111D-42CC-A606-E85C23DE127C}" type="presParOf" srcId="{394917C4-0528-4048-B1B9-6DF89718F02A}" destId="{76E1E450-B082-47F2-9097-35CBC3AC4F3A}" srcOrd="1" destOrd="0" presId="urn:microsoft.com/office/officeart/2005/8/layout/orgChart1"/>
    <dgm:cxn modelId="{C36EC9BD-33CA-4C54-88F0-E967737F910C}" type="presParOf" srcId="{76E1E450-B082-47F2-9097-35CBC3AC4F3A}" destId="{943D6C8E-9261-436D-AD56-0F868899C75D}" srcOrd="0" destOrd="0" presId="urn:microsoft.com/office/officeart/2005/8/layout/orgChart1"/>
    <dgm:cxn modelId="{49EB4F39-B509-444C-BADD-869EE0AD3815}" type="presParOf" srcId="{943D6C8E-9261-436D-AD56-0F868899C75D}" destId="{455BCEAE-97F5-4F9A-81A7-1F63D082EC6A}" srcOrd="0" destOrd="0" presId="urn:microsoft.com/office/officeart/2005/8/layout/orgChart1"/>
    <dgm:cxn modelId="{A11DA065-D18D-41F5-B20D-F95F75B5C582}" type="presParOf" srcId="{943D6C8E-9261-436D-AD56-0F868899C75D}" destId="{87BA7C31-E3E0-4084-8B6D-C283069CB1F0}" srcOrd="1" destOrd="0" presId="urn:microsoft.com/office/officeart/2005/8/layout/orgChart1"/>
    <dgm:cxn modelId="{A16CA508-BAA1-4B95-AA37-2587785418A2}" type="presParOf" srcId="{76E1E450-B082-47F2-9097-35CBC3AC4F3A}" destId="{7DB649E6-D1DC-498C-B569-6D2A12478DD7}" srcOrd="1" destOrd="0" presId="urn:microsoft.com/office/officeart/2005/8/layout/orgChart1"/>
    <dgm:cxn modelId="{40DF439F-36DA-455D-8AA2-7645383F55E6}" type="presParOf" srcId="{76E1E450-B082-47F2-9097-35CBC3AC4F3A}" destId="{B109E01C-15DD-4D8C-AA66-36C80FF42185}" srcOrd="2" destOrd="0" presId="urn:microsoft.com/office/officeart/2005/8/layout/orgChart1"/>
    <dgm:cxn modelId="{69C5FD59-5790-4292-9E39-0C752B642626}" type="presParOf" srcId="{394917C4-0528-4048-B1B9-6DF89718F02A}" destId="{8C33DA4D-CE64-4735-BFC8-A695CCB30749}" srcOrd="2" destOrd="0" presId="urn:microsoft.com/office/officeart/2005/8/layout/orgChart1"/>
    <dgm:cxn modelId="{DB77499D-ABE9-4166-BAEA-B622BCB97EBF}" type="presParOf" srcId="{394917C4-0528-4048-B1B9-6DF89718F02A}" destId="{A6C5562C-92AE-4F17-9C70-427F280429B7}" srcOrd="3" destOrd="0" presId="urn:microsoft.com/office/officeart/2005/8/layout/orgChart1"/>
    <dgm:cxn modelId="{0F44F37A-1AE0-459B-AE5A-AED27D97C201}" type="presParOf" srcId="{A6C5562C-92AE-4F17-9C70-427F280429B7}" destId="{3C838303-7097-4C6F-AFBA-1F592D4567E6}" srcOrd="0" destOrd="0" presId="urn:microsoft.com/office/officeart/2005/8/layout/orgChart1"/>
    <dgm:cxn modelId="{F59309A4-F0D7-4748-89A6-B8257CE0F6EC}" type="presParOf" srcId="{3C838303-7097-4C6F-AFBA-1F592D4567E6}" destId="{296CA16D-C430-4F42-B15A-0F72C10944B1}" srcOrd="0" destOrd="0" presId="urn:microsoft.com/office/officeart/2005/8/layout/orgChart1"/>
    <dgm:cxn modelId="{73EFB0F5-5C16-4644-B345-82EC9408BBC3}" type="presParOf" srcId="{3C838303-7097-4C6F-AFBA-1F592D4567E6}" destId="{A46C6446-7DA4-44B4-89F9-4B836BA1C770}" srcOrd="1" destOrd="0" presId="urn:microsoft.com/office/officeart/2005/8/layout/orgChart1"/>
    <dgm:cxn modelId="{B9BC66D9-60F7-48DC-A0F8-887E78DAA24F}" type="presParOf" srcId="{A6C5562C-92AE-4F17-9C70-427F280429B7}" destId="{7BC64734-ACF6-471A-93B3-78443130B32D}" srcOrd="1" destOrd="0" presId="urn:microsoft.com/office/officeart/2005/8/layout/orgChart1"/>
    <dgm:cxn modelId="{4BAB1E72-37B8-47C3-9C5C-FFEA53949882}" type="presParOf" srcId="{A6C5562C-92AE-4F17-9C70-427F280429B7}" destId="{EE8F9124-7C1A-49EB-B317-862E465FAC50}" srcOrd="2" destOrd="0" presId="urn:microsoft.com/office/officeart/2005/8/layout/orgChart1"/>
    <dgm:cxn modelId="{2E97B35A-79D2-4161-9EEC-A5AC20A23C0C}" type="presParOf" srcId="{394917C4-0528-4048-B1B9-6DF89718F02A}" destId="{506EC688-1F2F-4A32-A572-149D58A9A75E}" srcOrd="4" destOrd="0" presId="urn:microsoft.com/office/officeart/2005/8/layout/orgChart1"/>
    <dgm:cxn modelId="{276FF036-19D4-4B45-A01B-D51C709728B6}" type="presParOf" srcId="{394917C4-0528-4048-B1B9-6DF89718F02A}" destId="{899DB93A-9536-4B7A-B549-F77B47CD37D0}" srcOrd="5" destOrd="0" presId="urn:microsoft.com/office/officeart/2005/8/layout/orgChart1"/>
    <dgm:cxn modelId="{FDB64D9D-FA23-460D-AB2C-22416214EF15}" type="presParOf" srcId="{899DB93A-9536-4B7A-B549-F77B47CD37D0}" destId="{85533F51-6A76-4B6E-A5B1-9FEE2FBD0538}" srcOrd="0" destOrd="0" presId="urn:microsoft.com/office/officeart/2005/8/layout/orgChart1"/>
    <dgm:cxn modelId="{62D68CFE-9C00-471E-AE2B-68882A5800C4}" type="presParOf" srcId="{85533F51-6A76-4B6E-A5B1-9FEE2FBD0538}" destId="{0651BFE4-9F81-4E4F-A5A9-D04F566DC450}" srcOrd="0" destOrd="0" presId="urn:microsoft.com/office/officeart/2005/8/layout/orgChart1"/>
    <dgm:cxn modelId="{30EF1C9B-F251-4179-98FF-47AC65BE6FE8}" type="presParOf" srcId="{85533F51-6A76-4B6E-A5B1-9FEE2FBD0538}" destId="{0A118CD2-1860-49E3-B4A4-64B458A2CDBE}" srcOrd="1" destOrd="0" presId="urn:microsoft.com/office/officeart/2005/8/layout/orgChart1"/>
    <dgm:cxn modelId="{13A91406-044E-4EF1-9A02-4D0FF52AF3CF}" type="presParOf" srcId="{899DB93A-9536-4B7A-B549-F77B47CD37D0}" destId="{4C08A34D-5748-41D5-931F-0A3A69D03065}" srcOrd="1" destOrd="0" presId="urn:microsoft.com/office/officeart/2005/8/layout/orgChart1"/>
    <dgm:cxn modelId="{01C3538D-7A80-4317-8660-F72E91CB7587}" type="presParOf" srcId="{899DB93A-9536-4B7A-B549-F77B47CD37D0}" destId="{833EFCD1-91F6-4D23-8E5D-A700D85BBBED}" srcOrd="2" destOrd="0" presId="urn:microsoft.com/office/officeart/2005/8/layout/orgChart1"/>
    <dgm:cxn modelId="{EF7861A3-A449-4920-A4C6-62E907ED5B16}" type="presParOf" srcId="{B3564B60-3F05-4B46-996F-9308C6EB20AD}" destId="{D19B1EFD-24AC-420C-B90B-ECFFC7219A36}" srcOrd="2" destOrd="0" presId="urn:microsoft.com/office/officeart/2005/8/layout/orgChart1"/>
    <dgm:cxn modelId="{E5454403-FCE4-4B6B-B6D7-4DF1F68DFC81}" type="presParOf" srcId="{3041D4B0-9369-465B-8D57-5CE95A37FD14}" destId="{C582B1CE-493C-4F0A-BA2C-81EEFFE69CB0}" srcOrd="2" destOrd="0" presId="urn:microsoft.com/office/officeart/2005/8/layout/orgChart1"/>
    <dgm:cxn modelId="{5ED3608D-A130-4712-8560-3B93AB7E19C2}" type="presParOf" srcId="{BAB3B760-596C-4FD7-B06B-9B544F176B7E}" destId="{B1476D85-3C68-4C14-A925-7BF3394708F6}" srcOrd="4" destOrd="0" presId="urn:microsoft.com/office/officeart/2005/8/layout/orgChart1"/>
    <dgm:cxn modelId="{4979E980-F3CA-47D9-858B-2F28C1EC5F9D}" type="presParOf" srcId="{BAB3B760-596C-4FD7-B06B-9B544F176B7E}" destId="{62040015-9210-4E09-8679-F21B103ED362}" srcOrd="5" destOrd="0" presId="urn:microsoft.com/office/officeart/2005/8/layout/orgChart1"/>
    <dgm:cxn modelId="{A309531E-63B9-4865-BEC4-B49B9D0ABAF6}" type="presParOf" srcId="{62040015-9210-4E09-8679-F21B103ED362}" destId="{90D19E3E-F7FB-4AFE-A48F-6C22679E6F85}" srcOrd="0" destOrd="0" presId="urn:microsoft.com/office/officeart/2005/8/layout/orgChart1"/>
    <dgm:cxn modelId="{1659B33F-3F2E-4F10-A83C-6E3B53A0A2EC}" type="presParOf" srcId="{90D19E3E-F7FB-4AFE-A48F-6C22679E6F85}" destId="{F2631B50-57AC-4DF4-8B1B-45536DF1E624}" srcOrd="0" destOrd="0" presId="urn:microsoft.com/office/officeart/2005/8/layout/orgChart1"/>
    <dgm:cxn modelId="{730D3690-7E0C-4A04-82B5-F41ED7436013}" type="presParOf" srcId="{90D19E3E-F7FB-4AFE-A48F-6C22679E6F85}" destId="{24AABA29-B068-4F4B-8E9C-2FF7ADDD7605}" srcOrd="1" destOrd="0" presId="urn:microsoft.com/office/officeart/2005/8/layout/orgChart1"/>
    <dgm:cxn modelId="{F0A875A5-FBC3-476A-BC75-CAB79967FF74}" type="presParOf" srcId="{62040015-9210-4E09-8679-F21B103ED362}" destId="{9AA89718-1678-4814-BE64-1FD4A9A7D935}" srcOrd="1" destOrd="0" presId="urn:microsoft.com/office/officeart/2005/8/layout/orgChart1"/>
    <dgm:cxn modelId="{3E05B197-4556-4E2D-B62D-2EAF2299DE35}" type="presParOf" srcId="{9AA89718-1678-4814-BE64-1FD4A9A7D935}" destId="{8CE365B3-C0C0-4535-A72A-97B20C0DE02B}" srcOrd="0" destOrd="0" presId="urn:microsoft.com/office/officeart/2005/8/layout/orgChart1"/>
    <dgm:cxn modelId="{B896FC69-4511-4D3E-85E4-417FC6F5686F}" type="presParOf" srcId="{9AA89718-1678-4814-BE64-1FD4A9A7D935}" destId="{168A4C51-1CD8-4962-B9CD-311C7852B713}" srcOrd="1" destOrd="0" presId="urn:microsoft.com/office/officeart/2005/8/layout/orgChart1"/>
    <dgm:cxn modelId="{A0E44C84-3195-44CC-A40B-C7A68E5B98CB}" type="presParOf" srcId="{168A4C51-1CD8-4962-B9CD-311C7852B713}" destId="{BA1448E0-987C-4F6F-84DE-76ED26746429}" srcOrd="0" destOrd="0" presId="urn:microsoft.com/office/officeart/2005/8/layout/orgChart1"/>
    <dgm:cxn modelId="{B3D15C4A-74CC-40AB-AC43-8DBC950A54DE}" type="presParOf" srcId="{BA1448E0-987C-4F6F-84DE-76ED26746429}" destId="{EC8B8BA8-6182-4337-931A-FB86E42D45D5}" srcOrd="0" destOrd="0" presId="urn:microsoft.com/office/officeart/2005/8/layout/orgChart1"/>
    <dgm:cxn modelId="{4908E986-3A59-4FE5-81D5-23A3E213592F}" type="presParOf" srcId="{BA1448E0-987C-4F6F-84DE-76ED26746429}" destId="{26CA4F92-8ED2-4DA9-B9D1-1DC43398FBCD}" srcOrd="1" destOrd="0" presId="urn:microsoft.com/office/officeart/2005/8/layout/orgChart1"/>
    <dgm:cxn modelId="{DC835067-3896-4EF4-A506-1A27E6698E50}" type="presParOf" srcId="{168A4C51-1CD8-4962-B9CD-311C7852B713}" destId="{4C16BFEA-DB3B-47D7-B3D9-5FE022FDE75A}" srcOrd="1" destOrd="0" presId="urn:microsoft.com/office/officeart/2005/8/layout/orgChart1"/>
    <dgm:cxn modelId="{2F41DB1A-F19A-4510-B4F2-C293CA9DF548}" type="presParOf" srcId="{168A4C51-1CD8-4962-B9CD-311C7852B713}" destId="{F3DA662D-BF4C-4179-80BD-E73D955F9221}" srcOrd="2" destOrd="0" presId="urn:microsoft.com/office/officeart/2005/8/layout/orgChart1"/>
    <dgm:cxn modelId="{DDB7629B-F7F1-43BC-BA39-1A20E4F6F6BC}" type="presParOf" srcId="{9AA89718-1678-4814-BE64-1FD4A9A7D935}" destId="{E2998BC0-AFD0-47E7-BB8A-903A982612C5}" srcOrd="2" destOrd="0" presId="urn:microsoft.com/office/officeart/2005/8/layout/orgChart1"/>
    <dgm:cxn modelId="{FAB67DBB-1CA6-450E-B763-C3C532AA32B2}" type="presParOf" srcId="{9AA89718-1678-4814-BE64-1FD4A9A7D935}" destId="{B9A7682D-6B87-4A29-91F9-8AD69B38760D}" srcOrd="3" destOrd="0" presId="urn:microsoft.com/office/officeart/2005/8/layout/orgChart1"/>
    <dgm:cxn modelId="{2169D383-94B0-41F2-8BFB-C0803C3501EB}" type="presParOf" srcId="{B9A7682D-6B87-4A29-91F9-8AD69B38760D}" destId="{3114B25D-A933-498F-93FE-F11A0505FA66}" srcOrd="0" destOrd="0" presId="urn:microsoft.com/office/officeart/2005/8/layout/orgChart1"/>
    <dgm:cxn modelId="{91FE8CED-1B89-4AA7-BB3A-6EF6969AD3BA}" type="presParOf" srcId="{3114B25D-A933-498F-93FE-F11A0505FA66}" destId="{50C92198-9DDE-4F6F-B2E3-C760450C586C}" srcOrd="0" destOrd="0" presId="urn:microsoft.com/office/officeart/2005/8/layout/orgChart1"/>
    <dgm:cxn modelId="{7DEBB003-3D02-417E-8266-DA1503A29D18}" type="presParOf" srcId="{3114B25D-A933-498F-93FE-F11A0505FA66}" destId="{64189A3C-0937-4E82-9128-F91BCE611D06}" srcOrd="1" destOrd="0" presId="urn:microsoft.com/office/officeart/2005/8/layout/orgChart1"/>
    <dgm:cxn modelId="{F1E9F896-990C-46DC-B2D8-F17F4CB3283A}" type="presParOf" srcId="{B9A7682D-6B87-4A29-91F9-8AD69B38760D}" destId="{94658B40-C28B-4D58-B53F-60ABDF494797}" srcOrd="1" destOrd="0" presId="urn:microsoft.com/office/officeart/2005/8/layout/orgChart1"/>
    <dgm:cxn modelId="{4608FAE8-1DA4-4717-9160-6AE5AB7E647A}" type="presParOf" srcId="{B9A7682D-6B87-4A29-91F9-8AD69B38760D}" destId="{EBCB48EB-8FBB-4A7C-84B1-48B13B48CB46}" srcOrd="2" destOrd="0" presId="urn:microsoft.com/office/officeart/2005/8/layout/orgChart1"/>
    <dgm:cxn modelId="{E79AD02B-C379-46E0-A118-FB2422694487}" type="presParOf" srcId="{62040015-9210-4E09-8679-F21B103ED362}" destId="{D9A005EB-800D-4B64-AB4F-8961680075D2}" srcOrd="2" destOrd="0" presId="urn:microsoft.com/office/officeart/2005/8/layout/orgChart1"/>
    <dgm:cxn modelId="{AFA596E8-00B3-4B9B-978A-93999AE410ED}" type="presParOf" srcId="{BAB3B760-596C-4FD7-B06B-9B544F176B7E}" destId="{8B054394-1CC4-4E14-A3C3-84549898A818}" srcOrd="6" destOrd="0" presId="urn:microsoft.com/office/officeart/2005/8/layout/orgChart1"/>
    <dgm:cxn modelId="{CC21232F-0CDC-4F9C-B8F1-AB86CC4FDFE0}" type="presParOf" srcId="{BAB3B760-596C-4FD7-B06B-9B544F176B7E}" destId="{AEEBFF4C-3A02-4138-9D9D-B4A34D188C2F}" srcOrd="7" destOrd="0" presId="urn:microsoft.com/office/officeart/2005/8/layout/orgChart1"/>
    <dgm:cxn modelId="{E442ED68-09EE-4D1F-A254-1FAF4480CACD}" type="presParOf" srcId="{AEEBFF4C-3A02-4138-9D9D-B4A34D188C2F}" destId="{9CCE0A51-9158-463B-8218-C83291474F22}" srcOrd="0" destOrd="0" presId="urn:microsoft.com/office/officeart/2005/8/layout/orgChart1"/>
    <dgm:cxn modelId="{FE3D7FAA-3F91-4F8B-9B14-41D51CD8C502}" type="presParOf" srcId="{9CCE0A51-9158-463B-8218-C83291474F22}" destId="{E0E8A66C-86AE-4333-B38F-BDCB42BD2FE9}" srcOrd="0" destOrd="0" presId="urn:microsoft.com/office/officeart/2005/8/layout/orgChart1"/>
    <dgm:cxn modelId="{5081B98D-1E46-40B0-ADC5-53AC9FF8EC62}" type="presParOf" srcId="{9CCE0A51-9158-463B-8218-C83291474F22}" destId="{7093672A-7E80-4CF8-BFDC-6CD547679DAB}" srcOrd="1" destOrd="0" presId="urn:microsoft.com/office/officeart/2005/8/layout/orgChart1"/>
    <dgm:cxn modelId="{3E6291CF-62B7-4F63-8F86-343E386F6BB2}" type="presParOf" srcId="{AEEBFF4C-3A02-4138-9D9D-B4A34D188C2F}" destId="{47FEF06C-1335-4B11-9D68-F3D4A260704E}" srcOrd="1" destOrd="0" presId="urn:microsoft.com/office/officeart/2005/8/layout/orgChart1"/>
    <dgm:cxn modelId="{7BF6A6A4-A7E4-415B-826E-4478A979BE85}" type="presParOf" srcId="{47FEF06C-1335-4B11-9D68-F3D4A260704E}" destId="{81BC3BEA-09FC-4A9F-A8CD-E99668485C46}" srcOrd="0" destOrd="0" presId="urn:microsoft.com/office/officeart/2005/8/layout/orgChart1"/>
    <dgm:cxn modelId="{7FAA442D-E63F-4373-AA69-BC235AE7A47A}" type="presParOf" srcId="{47FEF06C-1335-4B11-9D68-F3D4A260704E}" destId="{6AEE54A3-3137-451A-9E6C-40BE325B58D5}" srcOrd="1" destOrd="0" presId="urn:microsoft.com/office/officeart/2005/8/layout/orgChart1"/>
    <dgm:cxn modelId="{0273B478-2B8B-488F-A5A3-30B23E121F3F}" type="presParOf" srcId="{6AEE54A3-3137-451A-9E6C-40BE325B58D5}" destId="{C860FD61-23E9-4FD4-A405-72CF14E573B4}" srcOrd="0" destOrd="0" presId="urn:microsoft.com/office/officeart/2005/8/layout/orgChart1"/>
    <dgm:cxn modelId="{B157B518-B497-4160-BF3F-73BB48E3E8D9}" type="presParOf" srcId="{C860FD61-23E9-4FD4-A405-72CF14E573B4}" destId="{34A3554F-1966-4BAC-8584-94827A995940}" srcOrd="0" destOrd="0" presId="urn:microsoft.com/office/officeart/2005/8/layout/orgChart1"/>
    <dgm:cxn modelId="{19273415-40D6-4B3F-856A-9DBD222D7942}" type="presParOf" srcId="{C860FD61-23E9-4FD4-A405-72CF14E573B4}" destId="{4C65E9EB-ECF4-445D-B6AF-9645AAF3322D}" srcOrd="1" destOrd="0" presId="urn:microsoft.com/office/officeart/2005/8/layout/orgChart1"/>
    <dgm:cxn modelId="{89CDBEAB-85FE-4655-AB66-8461C69EA379}" type="presParOf" srcId="{6AEE54A3-3137-451A-9E6C-40BE325B58D5}" destId="{1179E864-0BD3-44AB-B95A-F567EBB5CA69}" srcOrd="1" destOrd="0" presId="urn:microsoft.com/office/officeart/2005/8/layout/orgChart1"/>
    <dgm:cxn modelId="{48751E58-C04E-43E6-88C8-A29AD36FFFFE}" type="presParOf" srcId="{6AEE54A3-3137-451A-9E6C-40BE325B58D5}" destId="{543BEDBA-6D23-46F1-80D1-4B8CEE6F9969}" srcOrd="2" destOrd="0" presId="urn:microsoft.com/office/officeart/2005/8/layout/orgChart1"/>
    <dgm:cxn modelId="{BBDD5688-053B-44F4-949D-422A1352023A}" type="presParOf" srcId="{47FEF06C-1335-4B11-9D68-F3D4A260704E}" destId="{CE873677-3DD0-4241-9A49-0CCEC83EF20F}" srcOrd="2" destOrd="0" presId="urn:microsoft.com/office/officeart/2005/8/layout/orgChart1"/>
    <dgm:cxn modelId="{9625DFC6-508E-4AAE-8880-DE8A604F309E}" type="presParOf" srcId="{47FEF06C-1335-4B11-9D68-F3D4A260704E}" destId="{678180D9-D006-4CBE-A38F-8C87D4EC913A}" srcOrd="3" destOrd="0" presId="urn:microsoft.com/office/officeart/2005/8/layout/orgChart1"/>
    <dgm:cxn modelId="{99974DFA-A3EE-42A4-B8AC-A6265DFE2BD6}" type="presParOf" srcId="{678180D9-D006-4CBE-A38F-8C87D4EC913A}" destId="{099B8C2E-07F1-4606-812C-05381D78AC76}" srcOrd="0" destOrd="0" presId="urn:microsoft.com/office/officeart/2005/8/layout/orgChart1"/>
    <dgm:cxn modelId="{7E5EFE20-3945-4486-B459-CE610403C282}" type="presParOf" srcId="{099B8C2E-07F1-4606-812C-05381D78AC76}" destId="{44D1215C-E326-4723-A825-EF9D137E7AF2}" srcOrd="0" destOrd="0" presId="urn:microsoft.com/office/officeart/2005/8/layout/orgChart1"/>
    <dgm:cxn modelId="{E89805D5-667B-44C2-A384-71DBBE170887}" type="presParOf" srcId="{099B8C2E-07F1-4606-812C-05381D78AC76}" destId="{CB3044F3-1CF0-41DE-B582-6F7A2C8ADC78}" srcOrd="1" destOrd="0" presId="urn:microsoft.com/office/officeart/2005/8/layout/orgChart1"/>
    <dgm:cxn modelId="{BC480E59-1E8A-428A-91ED-3C10893DFCD8}" type="presParOf" srcId="{678180D9-D006-4CBE-A38F-8C87D4EC913A}" destId="{5A6CCD82-116A-44D0-A337-78CD2BF47A70}" srcOrd="1" destOrd="0" presId="urn:microsoft.com/office/officeart/2005/8/layout/orgChart1"/>
    <dgm:cxn modelId="{69D6F70E-0DEA-4027-A831-B62A199690E4}" type="presParOf" srcId="{678180D9-D006-4CBE-A38F-8C87D4EC913A}" destId="{92E996BF-3524-4915-9FA6-3B6B7AAC1725}" srcOrd="2" destOrd="0" presId="urn:microsoft.com/office/officeart/2005/8/layout/orgChart1"/>
    <dgm:cxn modelId="{FFCCAAFF-AF5D-4F36-818B-4060227DEC77}" type="presParOf" srcId="{47FEF06C-1335-4B11-9D68-F3D4A260704E}" destId="{D3397E37-0FBA-4D2D-A417-F4CD51842D74}" srcOrd="4" destOrd="0" presId="urn:microsoft.com/office/officeart/2005/8/layout/orgChart1"/>
    <dgm:cxn modelId="{AB4A55BE-9518-4030-BBEB-94EB39A4B0A6}" type="presParOf" srcId="{47FEF06C-1335-4B11-9D68-F3D4A260704E}" destId="{F086075C-71D9-475E-B5CD-8E72C06CD3BF}" srcOrd="5" destOrd="0" presId="urn:microsoft.com/office/officeart/2005/8/layout/orgChart1"/>
    <dgm:cxn modelId="{6657D407-E61B-416C-BA73-A59A3C65AFFC}" type="presParOf" srcId="{F086075C-71D9-475E-B5CD-8E72C06CD3BF}" destId="{40CD7CB6-D516-473E-ADBA-CE7AF77195B4}" srcOrd="0" destOrd="0" presId="urn:microsoft.com/office/officeart/2005/8/layout/orgChart1"/>
    <dgm:cxn modelId="{AD6F6C41-3CF4-47E4-8250-F80F4D9926DB}" type="presParOf" srcId="{40CD7CB6-D516-473E-ADBA-CE7AF77195B4}" destId="{4254EAD8-AADD-4A95-BFA8-DBD485431DB9}" srcOrd="0" destOrd="0" presId="urn:microsoft.com/office/officeart/2005/8/layout/orgChart1"/>
    <dgm:cxn modelId="{E1C057E6-66B5-4448-A4DF-42235E0E6001}" type="presParOf" srcId="{40CD7CB6-D516-473E-ADBA-CE7AF77195B4}" destId="{5373D89F-849C-45A2-BBA4-B3F2BF93C70B}" srcOrd="1" destOrd="0" presId="urn:microsoft.com/office/officeart/2005/8/layout/orgChart1"/>
    <dgm:cxn modelId="{3AE5A583-6A3E-4D00-8610-5BA13D6CBEFC}" type="presParOf" srcId="{F086075C-71D9-475E-B5CD-8E72C06CD3BF}" destId="{F5FFEAFB-5EA3-4B53-8ED6-FACA186AB665}" srcOrd="1" destOrd="0" presId="urn:microsoft.com/office/officeart/2005/8/layout/orgChart1"/>
    <dgm:cxn modelId="{6A8D8FE6-1CF5-49B3-A412-1101731498CA}" type="presParOf" srcId="{F086075C-71D9-475E-B5CD-8E72C06CD3BF}" destId="{6D1F6419-784C-4013-A19F-D482DD71E7ED}" srcOrd="2" destOrd="0" presId="urn:microsoft.com/office/officeart/2005/8/layout/orgChart1"/>
    <dgm:cxn modelId="{7516DDB5-878E-4173-85FF-F3F31334EA28}" type="presParOf" srcId="{AEEBFF4C-3A02-4138-9D9D-B4A34D188C2F}" destId="{25B32C56-C463-41E7-BA6E-83DBE5869FBF}" srcOrd="2" destOrd="0" presId="urn:microsoft.com/office/officeart/2005/8/layout/orgChart1"/>
    <dgm:cxn modelId="{50B7A72E-22C2-45BC-A7D2-EA5E477B035E}" type="presParOf" srcId="{FB59589E-E7EC-4FF7-A887-B99CE7BBAFE0}" destId="{C6072220-6D0A-43C1-9E03-18006530491F}" srcOrd="2" destOrd="0" presId="urn:microsoft.com/office/officeart/2005/8/layout/orgChar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3397E37-0FBA-4D2D-A417-F4CD51842D74}">
      <dsp:nvSpPr>
        <dsp:cNvPr id="0" name=""/>
        <dsp:cNvSpPr/>
      </dsp:nvSpPr>
      <dsp:spPr>
        <a:xfrm>
          <a:off x="8407824" y="1230046"/>
          <a:ext cx="203606" cy="1911124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911124"/>
              </a:lnTo>
              <a:lnTo>
                <a:pt x="203606" y="1911124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E873677-3DD0-4241-9A49-0CCEC83EF20F}">
      <dsp:nvSpPr>
        <dsp:cNvPr id="0" name=""/>
        <dsp:cNvSpPr/>
      </dsp:nvSpPr>
      <dsp:spPr>
        <a:xfrm>
          <a:off x="8407824" y="1230046"/>
          <a:ext cx="203606" cy="118937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89370"/>
              </a:lnTo>
              <a:lnTo>
                <a:pt x="203606" y="1189370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1BC3BEA-09FC-4A9F-A8CD-E99668485C46}">
      <dsp:nvSpPr>
        <dsp:cNvPr id="0" name=""/>
        <dsp:cNvSpPr/>
      </dsp:nvSpPr>
      <dsp:spPr>
        <a:xfrm>
          <a:off x="8407824" y="1230046"/>
          <a:ext cx="203606" cy="46761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467615"/>
              </a:lnTo>
              <a:lnTo>
                <a:pt x="203606" y="467615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B054394-1CC4-4E14-A3C3-84549898A818}">
      <dsp:nvSpPr>
        <dsp:cNvPr id="0" name=""/>
        <dsp:cNvSpPr/>
      </dsp:nvSpPr>
      <dsp:spPr>
        <a:xfrm>
          <a:off x="5434011" y="508292"/>
          <a:ext cx="3516762" cy="21347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06738"/>
              </a:lnTo>
              <a:lnTo>
                <a:pt x="3516762" y="106738"/>
              </a:lnTo>
              <a:lnTo>
                <a:pt x="3516762" y="213476"/>
              </a:lnTo>
            </a:path>
          </a:pathLst>
        </a:custGeom>
        <a:noFill/>
        <a:ln w="254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2998BC0-AFD0-47E7-BB8A-903A982612C5}">
      <dsp:nvSpPr>
        <dsp:cNvPr id="0" name=""/>
        <dsp:cNvSpPr/>
      </dsp:nvSpPr>
      <dsp:spPr>
        <a:xfrm>
          <a:off x="6804574" y="1230046"/>
          <a:ext cx="209005" cy="118937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89370"/>
              </a:lnTo>
              <a:lnTo>
                <a:pt x="209005" y="1189370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CE365B3-C0C0-4535-A72A-97B20C0DE02B}">
      <dsp:nvSpPr>
        <dsp:cNvPr id="0" name=""/>
        <dsp:cNvSpPr/>
      </dsp:nvSpPr>
      <dsp:spPr>
        <a:xfrm>
          <a:off x="6804574" y="1230046"/>
          <a:ext cx="209005" cy="46761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467615"/>
              </a:lnTo>
              <a:lnTo>
                <a:pt x="209005" y="467615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1476D85-3C68-4C14-A925-7BF3394708F6}">
      <dsp:nvSpPr>
        <dsp:cNvPr id="0" name=""/>
        <dsp:cNvSpPr/>
      </dsp:nvSpPr>
      <dsp:spPr>
        <a:xfrm>
          <a:off x="5434011" y="508292"/>
          <a:ext cx="1927911" cy="21347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06738"/>
              </a:lnTo>
              <a:lnTo>
                <a:pt x="1927911" y="106738"/>
              </a:lnTo>
              <a:lnTo>
                <a:pt x="1927911" y="213476"/>
              </a:lnTo>
            </a:path>
          </a:pathLst>
        </a:custGeom>
        <a:noFill/>
        <a:ln w="254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06EC688-1F2F-4A32-A572-149D58A9A75E}">
      <dsp:nvSpPr>
        <dsp:cNvPr id="0" name=""/>
        <dsp:cNvSpPr/>
      </dsp:nvSpPr>
      <dsp:spPr>
        <a:xfrm>
          <a:off x="5409384" y="1951801"/>
          <a:ext cx="152483" cy="2070769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070769"/>
              </a:lnTo>
              <a:lnTo>
                <a:pt x="152483" y="2070769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C33DA4D-CE64-4735-BFC8-A695CCB30749}">
      <dsp:nvSpPr>
        <dsp:cNvPr id="0" name=""/>
        <dsp:cNvSpPr/>
      </dsp:nvSpPr>
      <dsp:spPr>
        <a:xfrm>
          <a:off x="5409384" y="1951801"/>
          <a:ext cx="152483" cy="134901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349015"/>
              </a:lnTo>
              <a:lnTo>
                <a:pt x="152483" y="1349015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1F114ED-FC5E-4410-8FFC-1559DDF942E2}">
      <dsp:nvSpPr>
        <dsp:cNvPr id="0" name=""/>
        <dsp:cNvSpPr/>
      </dsp:nvSpPr>
      <dsp:spPr>
        <a:xfrm>
          <a:off x="5409384" y="1951801"/>
          <a:ext cx="152483" cy="547438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47438"/>
              </a:lnTo>
              <a:lnTo>
                <a:pt x="152483" y="547438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98C09F7-CCCF-4C5B-849E-D28906807E56}">
      <dsp:nvSpPr>
        <dsp:cNvPr id="0" name=""/>
        <dsp:cNvSpPr/>
      </dsp:nvSpPr>
      <dsp:spPr>
        <a:xfrm>
          <a:off x="4585974" y="1230046"/>
          <a:ext cx="1230032" cy="213476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06738"/>
              </a:lnTo>
              <a:lnTo>
                <a:pt x="1230032" y="106738"/>
              </a:lnTo>
              <a:lnTo>
                <a:pt x="1230032" y="213476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D422654-E334-4694-BF23-A9F6EA49B89A}">
      <dsp:nvSpPr>
        <dsp:cNvPr id="0" name=""/>
        <dsp:cNvSpPr/>
      </dsp:nvSpPr>
      <dsp:spPr>
        <a:xfrm>
          <a:off x="4179352" y="1951801"/>
          <a:ext cx="152483" cy="118937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89370"/>
              </a:lnTo>
              <a:lnTo>
                <a:pt x="152483" y="1189370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E85DF20-E63C-490A-B78B-E85B189001DD}">
      <dsp:nvSpPr>
        <dsp:cNvPr id="0" name=""/>
        <dsp:cNvSpPr/>
      </dsp:nvSpPr>
      <dsp:spPr>
        <a:xfrm>
          <a:off x="4179352" y="1951801"/>
          <a:ext cx="152483" cy="46761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467615"/>
              </a:lnTo>
              <a:lnTo>
                <a:pt x="152483" y="467615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87C19A6-4A00-48A8-B138-8BE57D64A781}">
      <dsp:nvSpPr>
        <dsp:cNvPr id="0" name=""/>
        <dsp:cNvSpPr/>
      </dsp:nvSpPr>
      <dsp:spPr>
        <a:xfrm>
          <a:off x="4540254" y="1230046"/>
          <a:ext cx="91440" cy="213476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213476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D7F8F63-CBDF-415E-821F-8148D125DB90}">
      <dsp:nvSpPr>
        <dsp:cNvPr id="0" name=""/>
        <dsp:cNvSpPr/>
      </dsp:nvSpPr>
      <dsp:spPr>
        <a:xfrm>
          <a:off x="2949320" y="1951801"/>
          <a:ext cx="152483" cy="198162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981625"/>
              </a:lnTo>
              <a:lnTo>
                <a:pt x="152483" y="1981625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759F696-9D69-45CE-995D-8B6CB1314C82}">
      <dsp:nvSpPr>
        <dsp:cNvPr id="0" name=""/>
        <dsp:cNvSpPr/>
      </dsp:nvSpPr>
      <dsp:spPr>
        <a:xfrm>
          <a:off x="2949320" y="1951801"/>
          <a:ext cx="152483" cy="118937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89370"/>
              </a:lnTo>
              <a:lnTo>
                <a:pt x="152483" y="1189370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06BDBBB-67A7-47D0-8713-3064D6764B24}">
      <dsp:nvSpPr>
        <dsp:cNvPr id="0" name=""/>
        <dsp:cNvSpPr/>
      </dsp:nvSpPr>
      <dsp:spPr>
        <a:xfrm>
          <a:off x="2949320" y="1951801"/>
          <a:ext cx="152483" cy="46761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467615"/>
              </a:lnTo>
              <a:lnTo>
                <a:pt x="152483" y="467615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5CB5CD9-BCDB-42BD-966A-3AED8A0EA9E6}">
      <dsp:nvSpPr>
        <dsp:cNvPr id="0" name=""/>
        <dsp:cNvSpPr/>
      </dsp:nvSpPr>
      <dsp:spPr>
        <a:xfrm>
          <a:off x="3355942" y="1230046"/>
          <a:ext cx="1230032" cy="213476"/>
        </a:xfrm>
        <a:custGeom>
          <a:avLst/>
          <a:gdLst/>
          <a:ahLst/>
          <a:cxnLst/>
          <a:rect l="0" t="0" r="0" b="0"/>
          <a:pathLst>
            <a:path>
              <a:moveTo>
                <a:pt x="1230032" y="0"/>
              </a:moveTo>
              <a:lnTo>
                <a:pt x="1230032" y="106738"/>
              </a:lnTo>
              <a:lnTo>
                <a:pt x="0" y="106738"/>
              </a:lnTo>
              <a:lnTo>
                <a:pt x="0" y="213476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52CC8FB-56CF-44BD-9C9B-0192BE5512F5}">
      <dsp:nvSpPr>
        <dsp:cNvPr id="0" name=""/>
        <dsp:cNvSpPr/>
      </dsp:nvSpPr>
      <dsp:spPr>
        <a:xfrm>
          <a:off x="4585974" y="508292"/>
          <a:ext cx="848037" cy="213476"/>
        </a:xfrm>
        <a:custGeom>
          <a:avLst/>
          <a:gdLst/>
          <a:ahLst/>
          <a:cxnLst/>
          <a:rect l="0" t="0" r="0" b="0"/>
          <a:pathLst>
            <a:path>
              <a:moveTo>
                <a:pt x="848037" y="0"/>
              </a:moveTo>
              <a:lnTo>
                <a:pt x="848037" y="106738"/>
              </a:lnTo>
              <a:lnTo>
                <a:pt x="0" y="106738"/>
              </a:lnTo>
              <a:lnTo>
                <a:pt x="0" y="213476"/>
              </a:lnTo>
            </a:path>
          </a:pathLst>
        </a:custGeom>
        <a:noFill/>
        <a:ln w="254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2EC7EDE-1A1B-4821-B292-E42D27E2B8E1}">
      <dsp:nvSpPr>
        <dsp:cNvPr id="0" name=""/>
        <dsp:cNvSpPr/>
      </dsp:nvSpPr>
      <dsp:spPr>
        <a:xfrm>
          <a:off x="1374298" y="1230046"/>
          <a:ext cx="203606" cy="1189370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189370"/>
              </a:lnTo>
              <a:lnTo>
                <a:pt x="203606" y="1189370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E729864-9732-46A2-8955-878D6EB53D9C}">
      <dsp:nvSpPr>
        <dsp:cNvPr id="0" name=""/>
        <dsp:cNvSpPr/>
      </dsp:nvSpPr>
      <dsp:spPr>
        <a:xfrm>
          <a:off x="1374298" y="1230046"/>
          <a:ext cx="203606" cy="46761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467615"/>
              </a:lnTo>
              <a:lnTo>
                <a:pt x="203606" y="467615"/>
              </a:lnTo>
            </a:path>
          </a:pathLst>
        </a:custGeom>
        <a:noFill/>
        <a:ln w="254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4B5B732E-3C11-4F1F-8327-CCB8DD7885C0}">
      <dsp:nvSpPr>
        <dsp:cNvPr id="0" name=""/>
        <dsp:cNvSpPr/>
      </dsp:nvSpPr>
      <dsp:spPr>
        <a:xfrm>
          <a:off x="1917249" y="508292"/>
          <a:ext cx="3516762" cy="213476"/>
        </a:xfrm>
        <a:custGeom>
          <a:avLst/>
          <a:gdLst/>
          <a:ahLst/>
          <a:cxnLst/>
          <a:rect l="0" t="0" r="0" b="0"/>
          <a:pathLst>
            <a:path>
              <a:moveTo>
                <a:pt x="3516762" y="0"/>
              </a:moveTo>
              <a:lnTo>
                <a:pt x="3516762" y="106738"/>
              </a:lnTo>
              <a:lnTo>
                <a:pt x="0" y="106738"/>
              </a:lnTo>
              <a:lnTo>
                <a:pt x="0" y="213476"/>
              </a:lnTo>
            </a:path>
          </a:pathLst>
        </a:custGeom>
        <a:noFill/>
        <a:ln w="254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BF9615F-CF5E-42D0-ACE8-DF0068C7A2B9}">
      <dsp:nvSpPr>
        <dsp:cNvPr id="0" name=""/>
        <dsp:cNvSpPr/>
      </dsp:nvSpPr>
      <dsp:spPr>
        <a:xfrm>
          <a:off x="4465249" y="14"/>
          <a:ext cx="1937524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Compare Vehicles for Me</a:t>
          </a:r>
        </a:p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1100" kern="1200"/>
        </a:p>
      </dsp:txBody>
      <dsp:txXfrm>
        <a:off x="4465249" y="14"/>
        <a:ext cx="1937524" cy="508277"/>
      </dsp:txXfrm>
    </dsp:sp>
    <dsp:sp modelId="{1922EED1-1FD5-49E0-85D6-796288145450}">
      <dsp:nvSpPr>
        <dsp:cNvPr id="0" name=""/>
        <dsp:cNvSpPr/>
      </dsp:nvSpPr>
      <dsp:spPr>
        <a:xfrm>
          <a:off x="1238561" y="721768"/>
          <a:ext cx="1357376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Environmentally Friendly</a:t>
          </a:r>
        </a:p>
      </dsp:txBody>
      <dsp:txXfrm>
        <a:off x="1238561" y="721768"/>
        <a:ext cx="1357376" cy="508277"/>
      </dsp:txXfrm>
    </dsp:sp>
    <dsp:sp modelId="{D12AAFD6-B2D7-4E6C-9674-6C34F17D6ED3}">
      <dsp:nvSpPr>
        <dsp:cNvPr id="0" name=""/>
        <dsp:cNvSpPr/>
      </dsp:nvSpPr>
      <dsp:spPr>
        <a:xfrm>
          <a:off x="1577905" y="1443523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HWY Fuel Economy (MPG)</a:t>
          </a:r>
        </a:p>
      </dsp:txBody>
      <dsp:txXfrm>
        <a:off x="1577905" y="1443523"/>
        <a:ext cx="1016555" cy="508277"/>
      </dsp:txXfrm>
    </dsp:sp>
    <dsp:sp modelId="{FE94A82E-51D4-4AD2-AC60-68F8D2507BE3}">
      <dsp:nvSpPr>
        <dsp:cNvPr id="0" name=""/>
        <dsp:cNvSpPr/>
      </dsp:nvSpPr>
      <dsp:spPr>
        <a:xfrm>
          <a:off x="1577905" y="2165277"/>
          <a:ext cx="1310421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Cruise Range</a:t>
          </a:r>
          <a:br>
            <a:rPr lang="en-US" sz="1100" kern="1200"/>
          </a:br>
          <a:r>
            <a:rPr lang="en-US" sz="1100" kern="1200"/>
            <a:t>(mile)</a:t>
          </a:r>
        </a:p>
      </dsp:txBody>
      <dsp:txXfrm>
        <a:off x="1577905" y="2165277"/>
        <a:ext cx="1310421" cy="508277"/>
      </dsp:txXfrm>
    </dsp:sp>
    <dsp:sp modelId="{6F45DB3F-0556-45C9-8C31-59C65DA2AA70}">
      <dsp:nvSpPr>
        <dsp:cNvPr id="0" name=""/>
        <dsp:cNvSpPr/>
      </dsp:nvSpPr>
      <dsp:spPr>
        <a:xfrm>
          <a:off x="4077696" y="721768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Safe &amp; Utility</a:t>
          </a:r>
        </a:p>
      </dsp:txBody>
      <dsp:txXfrm>
        <a:off x="4077696" y="721768"/>
        <a:ext cx="1016555" cy="508277"/>
      </dsp:txXfrm>
    </dsp:sp>
    <dsp:sp modelId="{BCEC5F52-F569-44E9-9ED4-60EC00F58C3F}">
      <dsp:nvSpPr>
        <dsp:cNvPr id="0" name=""/>
        <dsp:cNvSpPr/>
      </dsp:nvSpPr>
      <dsp:spPr>
        <a:xfrm>
          <a:off x="2847664" y="1443523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Capacity</a:t>
          </a:r>
        </a:p>
      </dsp:txBody>
      <dsp:txXfrm>
        <a:off x="2847664" y="1443523"/>
        <a:ext cx="1016555" cy="508277"/>
      </dsp:txXfrm>
    </dsp:sp>
    <dsp:sp modelId="{435732D9-52DB-49A4-95E2-2908D73CCD35}">
      <dsp:nvSpPr>
        <dsp:cNvPr id="0" name=""/>
        <dsp:cNvSpPr/>
      </dsp:nvSpPr>
      <dsp:spPr>
        <a:xfrm>
          <a:off x="3101803" y="2165277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Cargo Volume (ft</a:t>
          </a:r>
          <a:r>
            <a:rPr lang="en-US" sz="1100" kern="1200" baseline="30000"/>
            <a:t>3</a:t>
          </a:r>
          <a:r>
            <a:rPr lang="en-US" sz="1100" kern="1200"/>
            <a:t>)</a:t>
          </a:r>
        </a:p>
      </dsp:txBody>
      <dsp:txXfrm>
        <a:off x="3101803" y="2165277"/>
        <a:ext cx="1016555" cy="508277"/>
      </dsp:txXfrm>
    </dsp:sp>
    <dsp:sp modelId="{F85AC64A-FDD5-4756-85ED-A62A9412C535}">
      <dsp:nvSpPr>
        <dsp:cNvPr id="0" name=""/>
        <dsp:cNvSpPr/>
      </dsp:nvSpPr>
      <dsp:spPr>
        <a:xfrm>
          <a:off x="3101803" y="2887032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F.Leg room</a:t>
          </a:r>
        </a:p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(in)</a:t>
          </a:r>
        </a:p>
      </dsp:txBody>
      <dsp:txXfrm>
        <a:off x="3101803" y="2887032"/>
        <a:ext cx="1016555" cy="508277"/>
      </dsp:txXfrm>
    </dsp:sp>
    <dsp:sp modelId="{3E76C5F4-F02D-454F-80E6-E9E86BB8FB9F}">
      <dsp:nvSpPr>
        <dsp:cNvPr id="0" name=""/>
        <dsp:cNvSpPr/>
      </dsp:nvSpPr>
      <dsp:spPr>
        <a:xfrm>
          <a:off x="3101803" y="3608786"/>
          <a:ext cx="1016555" cy="649279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Passenger Capacity </a:t>
          </a:r>
          <a:br>
            <a:rPr lang="en-US" sz="1100" kern="1200"/>
          </a:br>
          <a:r>
            <a:rPr lang="en-US" sz="1100" kern="1200"/>
            <a:t>(# people)</a:t>
          </a:r>
        </a:p>
      </dsp:txBody>
      <dsp:txXfrm>
        <a:off x="3101803" y="3608786"/>
        <a:ext cx="1016555" cy="649279"/>
      </dsp:txXfrm>
    </dsp:sp>
    <dsp:sp modelId="{C5EC8F6A-5BBF-44C7-824D-DA33B406F423}">
      <dsp:nvSpPr>
        <dsp:cNvPr id="0" name=""/>
        <dsp:cNvSpPr/>
      </dsp:nvSpPr>
      <dsp:spPr>
        <a:xfrm>
          <a:off x="4077696" y="1443523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Drive features</a:t>
          </a:r>
        </a:p>
      </dsp:txBody>
      <dsp:txXfrm>
        <a:off x="4077696" y="1443523"/>
        <a:ext cx="1016555" cy="508277"/>
      </dsp:txXfrm>
    </dsp:sp>
    <dsp:sp modelId="{1DB5B43E-7BD2-48CB-9BB2-EDD0459A3E40}">
      <dsp:nvSpPr>
        <dsp:cNvPr id="0" name=""/>
        <dsp:cNvSpPr/>
      </dsp:nvSpPr>
      <dsp:spPr>
        <a:xfrm>
          <a:off x="4331835" y="2165277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Drive train?</a:t>
          </a:r>
          <a:br>
            <a:rPr lang="en-US" sz="1100" kern="1200"/>
          </a:br>
          <a:r>
            <a:rPr lang="en-US" sz="1100" kern="1200"/>
            <a:t>(4WD,AWD,FWD)</a:t>
          </a:r>
        </a:p>
      </dsp:txBody>
      <dsp:txXfrm>
        <a:off x="4331835" y="2165277"/>
        <a:ext cx="1016555" cy="508277"/>
      </dsp:txXfrm>
    </dsp:sp>
    <dsp:sp modelId="{05CF6281-B01F-4925-A308-F51761C7632F}">
      <dsp:nvSpPr>
        <dsp:cNvPr id="0" name=""/>
        <dsp:cNvSpPr/>
      </dsp:nvSpPr>
      <dsp:spPr>
        <a:xfrm>
          <a:off x="4331835" y="2887032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HP&gt;200 (HP)</a:t>
          </a:r>
        </a:p>
      </dsp:txBody>
      <dsp:txXfrm>
        <a:off x="4331835" y="2887032"/>
        <a:ext cx="1016555" cy="508277"/>
      </dsp:txXfrm>
    </dsp:sp>
    <dsp:sp modelId="{9C046EB8-5B26-46D5-B2F5-633E52D17648}">
      <dsp:nvSpPr>
        <dsp:cNvPr id="0" name=""/>
        <dsp:cNvSpPr/>
      </dsp:nvSpPr>
      <dsp:spPr>
        <a:xfrm>
          <a:off x="5307729" y="1443523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Safety Ratings</a:t>
          </a:r>
        </a:p>
      </dsp:txBody>
      <dsp:txXfrm>
        <a:off x="5307729" y="1443523"/>
        <a:ext cx="1016555" cy="508277"/>
      </dsp:txXfrm>
    </dsp:sp>
    <dsp:sp modelId="{455BCEAE-97F5-4F9A-81A7-1F63D082EC6A}">
      <dsp:nvSpPr>
        <dsp:cNvPr id="0" name=""/>
        <dsp:cNvSpPr/>
      </dsp:nvSpPr>
      <dsp:spPr>
        <a:xfrm>
          <a:off x="5561868" y="2165277"/>
          <a:ext cx="1238235" cy="667922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US News Safety Rating </a:t>
          </a:r>
          <a:br>
            <a:rPr lang="en-US" sz="1100" kern="1200"/>
          </a:br>
          <a:r>
            <a:rPr lang="en-US" sz="1100" kern="1200"/>
            <a:t>(10 pts)</a:t>
          </a:r>
        </a:p>
      </dsp:txBody>
      <dsp:txXfrm>
        <a:off x="5561868" y="2165277"/>
        <a:ext cx="1238235" cy="667922"/>
      </dsp:txXfrm>
    </dsp:sp>
    <dsp:sp modelId="{296CA16D-C430-4F42-B15A-0F72C10944B1}">
      <dsp:nvSpPr>
        <dsp:cNvPr id="0" name=""/>
        <dsp:cNvSpPr/>
      </dsp:nvSpPr>
      <dsp:spPr>
        <a:xfrm>
          <a:off x="5561868" y="3046677"/>
          <a:ext cx="1241956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Rollover Rating </a:t>
          </a:r>
          <a:br>
            <a:rPr lang="en-US" sz="1100" kern="1200"/>
          </a:br>
          <a:r>
            <a:rPr lang="en-US" sz="1100" kern="1200"/>
            <a:t>(5-star)</a:t>
          </a:r>
        </a:p>
      </dsp:txBody>
      <dsp:txXfrm>
        <a:off x="5561868" y="3046677"/>
        <a:ext cx="1241956" cy="508277"/>
      </dsp:txXfrm>
    </dsp:sp>
    <dsp:sp modelId="{0651BFE4-9F81-4E4F-A5A9-D04F566DC450}">
      <dsp:nvSpPr>
        <dsp:cNvPr id="0" name=""/>
        <dsp:cNvSpPr/>
      </dsp:nvSpPr>
      <dsp:spPr>
        <a:xfrm>
          <a:off x="5561868" y="3768431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# Airbags</a:t>
          </a:r>
        </a:p>
      </dsp:txBody>
      <dsp:txXfrm>
        <a:off x="5561868" y="3768431"/>
        <a:ext cx="1016555" cy="508277"/>
      </dsp:txXfrm>
    </dsp:sp>
    <dsp:sp modelId="{F2631B50-57AC-4DF4-8B1B-45536DF1E624}">
      <dsp:nvSpPr>
        <dsp:cNvPr id="0" name=""/>
        <dsp:cNvSpPr/>
      </dsp:nvSpPr>
      <dsp:spPr>
        <a:xfrm>
          <a:off x="6665237" y="721768"/>
          <a:ext cx="1393372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Luxury</a:t>
          </a:r>
        </a:p>
      </dsp:txBody>
      <dsp:txXfrm>
        <a:off x="6665237" y="721768"/>
        <a:ext cx="1393372" cy="508277"/>
      </dsp:txXfrm>
    </dsp:sp>
    <dsp:sp modelId="{EC8B8BA8-6182-4337-931A-FB86E42D45D5}">
      <dsp:nvSpPr>
        <dsp:cNvPr id="0" name=""/>
        <dsp:cNvSpPr/>
      </dsp:nvSpPr>
      <dsp:spPr>
        <a:xfrm>
          <a:off x="7013580" y="1443523"/>
          <a:ext cx="1185273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US Manufacturer?</a:t>
          </a:r>
          <a:br>
            <a:rPr lang="en-US" sz="1100" kern="1200"/>
          </a:br>
          <a:r>
            <a:rPr lang="en-US" sz="1100" kern="1200"/>
            <a:t>(Yes/No)</a:t>
          </a:r>
        </a:p>
      </dsp:txBody>
      <dsp:txXfrm>
        <a:off x="7013580" y="1443523"/>
        <a:ext cx="1185273" cy="508277"/>
      </dsp:txXfrm>
    </dsp:sp>
    <dsp:sp modelId="{50C92198-9DDE-4F6F-B2E3-C760450C586C}">
      <dsp:nvSpPr>
        <dsp:cNvPr id="0" name=""/>
        <dsp:cNvSpPr/>
      </dsp:nvSpPr>
      <dsp:spPr>
        <a:xfrm>
          <a:off x="7013580" y="2165277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&gt;=4 door</a:t>
          </a:r>
        </a:p>
      </dsp:txBody>
      <dsp:txXfrm>
        <a:off x="7013580" y="2165277"/>
        <a:ext cx="1016555" cy="508277"/>
      </dsp:txXfrm>
    </dsp:sp>
    <dsp:sp modelId="{E0E8A66C-86AE-4333-B38F-BDCB42BD2FE9}">
      <dsp:nvSpPr>
        <dsp:cNvPr id="0" name=""/>
        <dsp:cNvSpPr/>
      </dsp:nvSpPr>
      <dsp:spPr>
        <a:xfrm>
          <a:off x="8272086" y="721768"/>
          <a:ext cx="1357376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Misc.</a:t>
          </a:r>
        </a:p>
      </dsp:txBody>
      <dsp:txXfrm>
        <a:off x="8272086" y="721768"/>
        <a:ext cx="1357376" cy="508277"/>
      </dsp:txXfrm>
    </dsp:sp>
    <dsp:sp modelId="{34A3554F-1966-4BAC-8584-94827A995940}">
      <dsp:nvSpPr>
        <dsp:cNvPr id="0" name=""/>
        <dsp:cNvSpPr/>
      </dsp:nvSpPr>
      <dsp:spPr>
        <a:xfrm>
          <a:off x="8611430" y="1443523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Year</a:t>
          </a:r>
        </a:p>
      </dsp:txBody>
      <dsp:txXfrm>
        <a:off x="8611430" y="1443523"/>
        <a:ext cx="1016555" cy="508277"/>
      </dsp:txXfrm>
    </dsp:sp>
    <dsp:sp modelId="{44D1215C-E326-4723-A825-EF9D137E7AF2}">
      <dsp:nvSpPr>
        <dsp:cNvPr id="0" name=""/>
        <dsp:cNvSpPr/>
      </dsp:nvSpPr>
      <dsp:spPr>
        <a:xfrm>
          <a:off x="8611430" y="2165277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Price</a:t>
          </a:r>
        </a:p>
      </dsp:txBody>
      <dsp:txXfrm>
        <a:off x="8611430" y="2165277"/>
        <a:ext cx="1016555" cy="508277"/>
      </dsp:txXfrm>
    </dsp:sp>
    <dsp:sp modelId="{4254EAD8-AADD-4A95-BFA8-DBD485431DB9}">
      <dsp:nvSpPr>
        <dsp:cNvPr id="0" name=""/>
        <dsp:cNvSpPr/>
      </dsp:nvSpPr>
      <dsp:spPr>
        <a:xfrm>
          <a:off x="8611430" y="2887032"/>
          <a:ext cx="1016555" cy="508277"/>
        </a:xfrm>
        <a:prstGeom prst="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100" kern="1200"/>
            <a:t>KBB Average Price</a:t>
          </a:r>
        </a:p>
      </dsp:txBody>
      <dsp:txXfrm>
        <a:off x="8611430" y="2887032"/>
        <a:ext cx="1016555" cy="508277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orgChart1">
  <dgm:title val=""/>
  <dgm:desc val=""/>
  <dgm:catLst>
    <dgm:cat type="hierarchy" pri="1000"/>
    <dgm:cat type="convert" pri="600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5"/>
      <dgm:constr type="w" for="des" forName="rootComposite" refType="w" fact="10"/>
      <dgm:constr type="h" for="des" forName="rootComposite" refType="w" refFor="des" refForName="rootComposite1" fact="0.5"/>
      <dgm:constr type="w" for="des" forName="rootComposite3" refType="w" fact="10"/>
      <dgm:constr type="h" for="des" forName="rootComposite3" refType="w" refFor="des" refForName="rootComposite1" fact="0.5"/>
      <dgm:constr type="primFontSz" for="des" ptType="node" op="equ"/>
      <dgm:constr type="sp" for="des" op="equ"/>
      <dgm:constr type="sp" for="des" forName="hierRoot1" refType="w" refFor="des" refForName="rootComposite1" fact="0.21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2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21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axis="ch" ptType="asst" func="cnt" op="gte" val="1">
                  <dgm:alg type="hierRoot">
                    <dgm:param type="hierAlign" val="tR"/>
                  </dgm:alg>
                  <dgm:constrLst>
                    <dgm:constr type="alignOff" val="0.65"/>
                  </dgm:constrLst>
                </dgm:if>
                <dgm:else name="Name9">
                  <dgm:alg type="hierRoot">
                    <dgm:param type="hierAlign" val="tR"/>
                  </dgm:alg>
                  <dgm:constrLst>
                    <dgm:constr type="alignOff" val="0.25"/>
                  </dgm:constrLst>
                </dgm:else>
              </dgm:choose>
            </dgm:if>
            <dgm:if name="Name10" func="var" arg="hierBranch" op="equ" val="r">
              <dgm:choose name="Name11">
                <dgm:if name="Name12" axis="ch" ptType="asst" func="cnt" op="gte" val="1">
                  <dgm:alg type="hierRoot">
                    <dgm:param type="hierAlign" val="tL"/>
                  </dgm:alg>
                  <dgm:constrLst>
                    <dgm:constr type="alignOff" val="0.65"/>
                  </dgm:constrLst>
                </dgm:if>
                <dgm:else name="Name13">
                  <dgm:alg type="hierRoot">
                    <dgm:param type="hierAlign" val="tL"/>
                  </dgm:alg>
                  <dgm:constrLst>
                    <dgm:constr type="alignOff" val="0.25"/>
                  </dgm:constrLst>
                </dgm:else>
              </dgm:choose>
            </dgm:if>
            <dgm:if name="Name14" func="var" arg="hierBranch" op="equ" val="hang">
              <dgm:alg type="hierRoot"/>
              <dgm:constrLst>
                <dgm:constr type="alignOff" val="0.65"/>
              </dgm:constrLst>
            </dgm:if>
            <dgm:else name="Name15">
              <dgm:alg type="hierRoot"/>
              <dgm:constrLst>
                <dgm:constr type="alignOff"/>
                <dgm:constr type="bendDist" for="des" ptType="parTrans" refType="sp" fact="0.5"/>
              </dgm:constrLst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16">
              <dgm:if name="Name17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8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9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0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1">
              <dgm:if name="Name22" func="var" arg="hierBranch" op="equ" val="l">
                <dgm:alg type="hierChild">
                  <dgm:param type="chAlign" val="r"/>
                  <dgm:param type="linDir" val="fromT"/>
                </dgm:alg>
              </dgm:if>
              <dgm:if name="Name23" func="var" arg="hierBranch" op="equ" val="r">
                <dgm:alg type="hierChild">
                  <dgm:param type="chAlign" val="l"/>
                  <dgm:param type="linDir" val="fromT"/>
                </dgm:alg>
              </dgm:if>
              <dgm:if name="Name24" func="var" arg="hierBranch" op="equ" val="hang">
                <dgm:choose name="Name25">
                  <dgm:if name="Name26" func="var" arg="dir" op="equ" val="norm">
                    <dgm:alg type="hierChild">
                      <dgm:param type="chAlign" val="l"/>
                      <dgm:param type="linDir" val="fromL"/>
                      <dgm:param type="secChAlign" val="t"/>
                      <dgm:param type="secLinDir" val="fromT"/>
                    </dgm:alg>
                  </dgm:if>
                  <dgm:else name="Name27">
                    <dgm:alg type="hierChild">
                      <dgm:param type="chAlign" val="l"/>
                      <dgm:param type="linDir" val="fromR"/>
                      <dgm:param type="secChAlign" val="t"/>
                      <dgm:param type="secLinDir" val="fromT"/>
                    </dgm:alg>
                  </dgm:else>
                </dgm:choose>
              </dgm:if>
              <dgm:else name="Name28">
                <dgm:choose name="Name29">
                  <dgm:if name="Name30" func="var" arg="dir" op="equ" val="norm">
                    <dgm:alg type="hierChild"/>
                  </dgm:if>
                  <dgm:else name="Name31">
                    <dgm:alg type="hierChild">
                      <dgm:param type="linDir" val="from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32" axis="precedSib" ptType="parTrans" st="-1" cnt="1">
                <dgm:choose name="Name33">
                  <dgm:if name="Name34" func="var" arg="hierBranch" op="equ" val="std">
                    <dgm:layoutNode name="Name35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tCtr"/>
                        <dgm:param type="bendPt" val="end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36" func="var" arg="hierBranch" op="equ" val="init">
                    <dgm:layoutNode name="Name37">
                      <dgm:choose name="Name38">
                        <dgm:if name="Name39" axis="self" func="depth" op="lte" val="2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if>
                        <dgm:else name="Name40">
                          <dgm:choose name="Name41">
                            <dgm:if name="Name42" axis="par des" func="maxDepth" op="lte" val="1">
                              <dgm:choose name="Name43">
                                <dgm:if name="Name44" axis="par ch" ptType="node asst" func="cnt" op="gte" val="1">
                                  <dgm:alg type="conn">
                                    <dgm:param type="connRout" val="bend"/>
                                    <dgm:param type="dim" val="1D"/>
                                    <dgm:param type="endSty" val="noArr"/>
                                    <dgm:param type="begPts" val="bCtr"/>
                                    <dgm:param type="endPts" val="midL midR"/>
                                  </dgm:alg>
                                </dgm:if>
                                <dgm:else name="Name45">
                                  <dgm:alg type="conn">
                                    <dgm:param type="connRout" val="bend"/>
                                    <dgm:param type="dim" val="1D"/>
                                    <dgm:param type="endSty" val="noArr"/>
                                    <dgm:param type="begPts" val="bCtr"/>
                                    <dgm:param type="endPts" val="midL midR"/>
                                    <dgm:param type="srcNode" val="rootConnector"/>
                                  </dgm:alg>
                                </dgm:else>
                              </dgm:choose>
                            </dgm:if>
                            <dgm:else name="Name46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tCtr"/>
                                <dgm:param type="bendPt" val="end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47" func="var" arg="hierBranch" op="equ" val="hang">
                    <dgm:layoutNode name="Name48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midL midR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49">
                    <dgm:layoutNode name="Name50">
                      <dgm:choose name="Name51">
                        <dgm:if name="Name52" axis="self" func="depth" op="lte" val="2">
                          <dgm:choose name="Name53">
                            <dgm:if name="Name54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5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1"/>
                              </dgm:alg>
                            </dgm:else>
                          </dgm:choose>
                        </dgm:if>
                        <dgm:else name="Name56">
                          <dgm:choose name="Name57">
                            <dgm:if name="Name58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9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60">
                  <dgm:if name="Name61" func="var" arg="hierBranch" op="equ" val="l">
                    <dgm:choose name="Name62">
                      <dgm:if name="Name63" axis="ch" ptType="asst" func="cnt" op="gte" val="1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4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5" func="var" arg="hierBranch" op="equ" val="r">
                    <dgm:choose name="Name66">
                      <dgm:if name="Name67" axis="ch" ptType="asst" func="cnt" op="g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8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9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70" func="var" arg="hierBranch" op="equ" val="init">
                    <dgm:choose name="Name71">
                      <dgm:if name="Name72" axis="des" func="maxDepth" op="lte" val="1">
                        <dgm:choose name="Name73">
                          <dgm:if name="Name74" axis="ch" ptType="asst" func="cnt" op="gte" val="1">
                            <dgm:alg type="hierRoot">
                              <dgm:param type="hierAlign" val="tL"/>
                            </dgm:alg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alignOff" val="0.65"/>
                            </dgm:constrLst>
                          </dgm:if>
                          <dgm:else name="Name75">
                            <dgm:alg type="hierRoot">
                              <dgm:param type="hierAlign" val="tL"/>
                            </dgm:alg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alignOff" val="0.25"/>
                            </dgm:constrLst>
                          </dgm:else>
                        </dgm:choose>
                      </dgm:if>
                      <dgm:else name="Name76">
                        <dgm:alg type="hierRoot"/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if>
                  <dgm:else name="Name77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else>
                </dgm:choose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78">
                    <dgm:if name="Name79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0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81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82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83">
                    <dgm:if name="Name84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85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86" func="var" arg="hierBranch" op="equ" val="hang">
                      <dgm:choose name="Name87">
                        <dgm:if name="Name88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89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90" func="var" arg="hierBranch" op="equ" val="std">
                      <dgm:choose name="Name91">
                        <dgm:if name="Name92" func="var" arg="dir" op="equ" val="norm">
                          <dgm:alg type="hierChild"/>
                        </dgm:if>
                        <dgm:else name="Name93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94" func="var" arg="hierBranch" op="equ" val="init">
                      <dgm:choose name="Name95">
                        <dgm:if name="Name96" axis="des" func="maxDepth" op="lte" val="1">
                          <dgm:alg type="hierChild">
                            <dgm:param type="chAlign" val="l"/>
                            <dgm:param type="linDir" val="fromT"/>
                          </dgm:alg>
                        </dgm:if>
                        <dgm:else name="Name97">
                          <dgm:choose name="Name98">
                            <dgm:if name="Name99" func="var" arg="dir" op="equ" val="norm">
                              <dgm:alg type="hierChild"/>
                            </dgm:if>
                            <dgm:else name="Name100">
                              <dgm:alg type="hierChild">
                                <dgm:param type="linDir" val="fromR"/>
                              </dgm:alg>
                            </dgm:else>
                          </dgm:choose>
                        </dgm:else>
                      </dgm:choose>
                    </dgm:if>
                    <dgm:else name="Name101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2" ref="rep2a"/>
                </dgm:layoutNode>
                <dgm:layoutNode name="hierChild5">
                  <dgm:choose name="Name103">
                    <dgm:if name="Name104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05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06" ref="rep2b"/>
                </dgm:layoutNode>
              </dgm:layoutNode>
            </dgm:forEach>
          </dgm:layoutNode>
          <dgm:layoutNode name="hierChild3">
            <dgm:choose name="Name107">
              <dgm:if name="Name108" func="var" arg="dir" op="equ" val="norm">
                <dgm:alg type="hierChild">
                  <dgm:param type="chAlign" val="l"/>
                  <dgm:param type="linDir" val="fromL"/>
                  <dgm:param type="secChAlign" val="t"/>
                  <dgm:param type="secLinDir" val="fromT"/>
                </dgm:alg>
              </dgm:if>
              <dgm:else name="Name109">
                <dgm:alg type="hierChild">
                  <dgm:param type="chAlign" val="l"/>
                  <dgm:param type="linDir" val="fromR"/>
                  <dgm:param type="secChAlign" val="t"/>
                  <dgm:param type="secLinDir" val="fromT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110" axis="precedSib" ptType="parTrans" st="-1" cnt="1">
                <dgm:layoutNode name="Name111">
                  <dgm:alg type="conn">
                    <dgm:param type="connRout" val="bend"/>
                    <dgm:param type="dim" val="1D"/>
                    <dgm:param type="endSty" val="noArr"/>
                    <dgm:param type="begPts" val="bCtr"/>
                    <dgm:param type="endPts" val="midL midR"/>
                  </dgm:alg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112">
                  <dgm:if name="Name113" func="var" arg="hierBranch" op="equ" val="l">
                    <dgm:alg type="hierRoot">
                      <dgm:param type="hierAlign" val="tR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4" func="var" arg="hierBranch" op="equ" val="r">
                    <dgm:alg type="hierRoot">
                      <dgm:param type="hierAlign" val="tL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5" func="var" arg="hierBranch" op="equ" val="hang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16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117" func="var" arg="hierBranch" op="equ" val="init">
                    <dgm:choose name="Name118">
                      <dgm:if name="Name119" axis="des" func="maxDepth" op="l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120">
                        <dgm:alg type="hierRoot"/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/>
                          <dgm:constr type="bendDist" for="des" ptType="parTrans" refType="sp" fact="0.5"/>
                        </dgm:constrLst>
                      </dgm:else>
                    </dgm:choose>
                  </dgm:if>
                  <dgm:else name="Name121"/>
                </dgm:choose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22">
                    <dgm:if name="Name123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24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25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26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27">
                    <dgm:if name="Name128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129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130" func="var" arg="hierBranch" op="equ" val="hang">
                      <dgm:choose name="Name131">
                        <dgm:if name="Name132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133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134" func="var" arg="hierBranch" op="equ" val="std">
                      <dgm:choose name="Name135">
                        <dgm:if name="Name136" func="var" arg="dir" op="equ" val="norm">
                          <dgm:alg type="hierChild"/>
                        </dgm:if>
                        <dgm:else name="Name137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138" func="var" arg="hierBranch" op="equ" val="init">
                      <dgm:choose name="Name139">
                        <dgm:if name="Name140" axis="des" func="maxDepth" op="lte" val="1">
                          <dgm:alg type="hierChild">
                            <dgm:param type="chAlign" val="l"/>
                            <dgm:param type="linDir" val="fromT"/>
                          </dgm:alg>
                        </dgm:if>
                        <dgm:else name="Name141">
                          <dgm:alg type="hierChild"/>
                        </dgm:else>
                      </dgm:choose>
                    </dgm:if>
                    <dgm:else name="Name142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43" ref="rep2a"/>
                </dgm:layoutNode>
                <dgm:layoutNode name="hierChild7">
                  <dgm:choose name="Name144">
                    <dgm:if name="Name145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46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47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85725</xdr:rowOff>
    </xdr:from>
    <xdr:to>
      <xdr:col>17</xdr:col>
      <xdr:colOff>400049</xdr:colOff>
      <xdr:row>22</xdr:row>
      <xdr:rowOff>161924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27213</xdr:colOff>
      <xdr:row>21</xdr:row>
      <xdr:rowOff>32128</xdr:rowOff>
    </xdr:from>
    <xdr:to>
      <xdr:col>2</xdr:col>
      <xdr:colOff>808263</xdr:colOff>
      <xdr:row>31</xdr:row>
      <xdr:rowOff>13807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0</xdr:colOff>
      <xdr:row>21</xdr:row>
      <xdr:rowOff>13606</xdr:rowOff>
    </xdr:from>
    <xdr:to>
      <xdr:col>4</xdr:col>
      <xdr:colOff>781050</xdr:colOff>
      <xdr:row>30</xdr:row>
      <xdr:rowOff>193723</xdr:rowOff>
    </xdr:to>
    <xdr:graphicFrame macro="">
      <xdr:nvGraphicFramePr>
        <xdr:cNvPr id="24" name="Chart 2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0</xdr:colOff>
      <xdr:row>21</xdr:row>
      <xdr:rowOff>0</xdr:rowOff>
    </xdr:from>
    <xdr:to>
      <xdr:col>8</xdr:col>
      <xdr:colOff>781050</xdr:colOff>
      <xdr:row>30</xdr:row>
      <xdr:rowOff>180117</xdr:rowOff>
    </xdr:to>
    <xdr:graphicFrame macro="">
      <xdr:nvGraphicFramePr>
        <xdr:cNvPr id="26" name="Chart 2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21</xdr:row>
      <xdr:rowOff>0</xdr:rowOff>
    </xdr:from>
    <xdr:to>
      <xdr:col>10</xdr:col>
      <xdr:colOff>781050</xdr:colOff>
      <xdr:row>30</xdr:row>
      <xdr:rowOff>180117</xdr:rowOff>
    </xdr:to>
    <xdr:graphicFrame macro="">
      <xdr:nvGraphicFramePr>
        <xdr:cNvPr id="27" name="Chart 2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11</xdr:col>
      <xdr:colOff>0</xdr:colOff>
      <xdr:row>21</xdr:row>
      <xdr:rowOff>0</xdr:rowOff>
    </xdr:from>
    <xdr:to>
      <xdr:col>12</xdr:col>
      <xdr:colOff>781050</xdr:colOff>
      <xdr:row>30</xdr:row>
      <xdr:rowOff>180117</xdr:rowOff>
    </xdr:to>
    <xdr:graphicFrame macro="">
      <xdr:nvGraphicFramePr>
        <xdr:cNvPr id="28" name="Chart 2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13</xdr:col>
      <xdr:colOff>0</xdr:colOff>
      <xdr:row>21</xdr:row>
      <xdr:rowOff>0</xdr:rowOff>
    </xdr:from>
    <xdr:to>
      <xdr:col>14</xdr:col>
      <xdr:colOff>781050</xdr:colOff>
      <xdr:row>30</xdr:row>
      <xdr:rowOff>180117</xdr:rowOff>
    </xdr:to>
    <xdr:graphicFrame macro="">
      <xdr:nvGraphicFramePr>
        <xdr:cNvPr id="29" name="Chart 2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0</xdr:colOff>
      <xdr:row>21</xdr:row>
      <xdr:rowOff>0</xdr:rowOff>
    </xdr:from>
    <xdr:to>
      <xdr:col>16</xdr:col>
      <xdr:colOff>781050</xdr:colOff>
      <xdr:row>30</xdr:row>
      <xdr:rowOff>180117</xdr:rowOff>
    </xdr:to>
    <xdr:graphicFrame macro="">
      <xdr:nvGraphicFramePr>
        <xdr:cNvPr id="30" name="Chart 29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17</xdr:col>
      <xdr:colOff>0</xdr:colOff>
      <xdr:row>21</xdr:row>
      <xdr:rowOff>0</xdr:rowOff>
    </xdr:from>
    <xdr:to>
      <xdr:col>18</xdr:col>
      <xdr:colOff>781050</xdr:colOff>
      <xdr:row>30</xdr:row>
      <xdr:rowOff>180117</xdr:rowOff>
    </xdr:to>
    <xdr:graphicFrame macro="">
      <xdr:nvGraphicFramePr>
        <xdr:cNvPr id="31" name="Chart 3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19</xdr:col>
      <xdr:colOff>0</xdr:colOff>
      <xdr:row>21</xdr:row>
      <xdr:rowOff>0</xdr:rowOff>
    </xdr:from>
    <xdr:to>
      <xdr:col>20</xdr:col>
      <xdr:colOff>781050</xdr:colOff>
      <xdr:row>30</xdr:row>
      <xdr:rowOff>180117</xdr:rowOff>
    </xdr:to>
    <xdr:graphicFrame macro="">
      <xdr:nvGraphicFramePr>
        <xdr:cNvPr id="32" name="Chart 3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21</xdr:col>
      <xdr:colOff>0</xdr:colOff>
      <xdr:row>21</xdr:row>
      <xdr:rowOff>0</xdr:rowOff>
    </xdr:from>
    <xdr:to>
      <xdr:col>22</xdr:col>
      <xdr:colOff>781050</xdr:colOff>
      <xdr:row>30</xdr:row>
      <xdr:rowOff>180117</xdr:rowOff>
    </xdr:to>
    <xdr:graphicFrame macro="">
      <xdr:nvGraphicFramePr>
        <xdr:cNvPr id="33" name="Chart 3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23</xdr:col>
      <xdr:colOff>0</xdr:colOff>
      <xdr:row>21</xdr:row>
      <xdr:rowOff>0</xdr:rowOff>
    </xdr:from>
    <xdr:to>
      <xdr:col>24</xdr:col>
      <xdr:colOff>781050</xdr:colOff>
      <xdr:row>30</xdr:row>
      <xdr:rowOff>180117</xdr:rowOff>
    </xdr:to>
    <xdr:graphicFrame macro="">
      <xdr:nvGraphicFramePr>
        <xdr:cNvPr id="34" name="Chart 3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25</xdr:col>
      <xdr:colOff>0</xdr:colOff>
      <xdr:row>21</xdr:row>
      <xdr:rowOff>0</xdr:rowOff>
    </xdr:from>
    <xdr:ext cx="1834403" cy="1592058"/>
    <xdr:graphicFrame macro="">
      <xdr:nvGraphicFramePr>
        <xdr:cNvPr id="17" name="Chart 1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oneCellAnchor>
  <xdr:oneCellAnchor>
    <xdr:from>
      <xdr:col>27</xdr:col>
      <xdr:colOff>11206</xdr:colOff>
      <xdr:row>21</xdr:row>
      <xdr:rowOff>67235</xdr:rowOff>
    </xdr:from>
    <xdr:ext cx="1834403" cy="1592058"/>
    <xdr:graphicFrame macro="">
      <xdr:nvGraphicFramePr>
        <xdr:cNvPr id="18" name="Chart 1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oneCellAnchor>
  <xdr:oneCellAnchor>
    <xdr:from>
      <xdr:col>29</xdr:col>
      <xdr:colOff>0</xdr:colOff>
      <xdr:row>21</xdr:row>
      <xdr:rowOff>0</xdr:rowOff>
    </xdr:from>
    <xdr:ext cx="1834403" cy="1592058"/>
    <xdr:graphicFrame macro="">
      <xdr:nvGraphicFramePr>
        <xdr:cNvPr id="21" name="Chart 20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oneCellAnchor>
  <xdr:oneCellAnchor>
    <xdr:from>
      <xdr:col>31</xdr:col>
      <xdr:colOff>0</xdr:colOff>
      <xdr:row>21</xdr:row>
      <xdr:rowOff>0</xdr:rowOff>
    </xdr:from>
    <xdr:ext cx="2073088" cy="1592058"/>
    <xdr:graphicFrame macro="">
      <xdr:nvGraphicFramePr>
        <xdr:cNvPr id="22" name="Chart 2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oneCellAnchor>
  <xdr:twoCellAnchor editAs="oneCell">
    <xdr:from>
      <xdr:col>5</xdr:col>
      <xdr:colOff>0</xdr:colOff>
      <xdr:row>21</xdr:row>
      <xdr:rowOff>0</xdr:rowOff>
    </xdr:from>
    <xdr:to>
      <xdr:col>6</xdr:col>
      <xdr:colOff>781050</xdr:colOff>
      <xdr:row>30</xdr:row>
      <xdr:rowOff>180117</xdr:rowOff>
    </xdr:to>
    <xdr:graphicFrame macro="">
      <xdr:nvGraphicFramePr>
        <xdr:cNvPr id="36" name="Chart 3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438149</xdr:colOff>
      <xdr:row>82</xdr:row>
      <xdr:rowOff>160903</xdr:rowOff>
    </xdr:from>
    <xdr:to>
      <xdr:col>6</xdr:col>
      <xdr:colOff>517071</xdr:colOff>
      <xdr:row>121</xdr:row>
      <xdr:rowOff>40822</xdr:rowOff>
    </xdr:to>
    <xdr:graphicFrame macro="">
      <xdr:nvGraphicFramePr>
        <xdr:cNvPr id="38" name="Chart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40</xdr:col>
      <xdr:colOff>1</xdr:colOff>
      <xdr:row>22</xdr:row>
      <xdr:rowOff>159203</xdr:rowOff>
    </xdr:from>
    <xdr:to>
      <xdr:col>51</xdr:col>
      <xdr:colOff>462644</xdr:colOff>
      <xdr:row>51</xdr:row>
      <xdr:rowOff>81642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41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41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A19:U59"/>
  <sheetViews>
    <sheetView tabSelected="1" topLeftCell="A28" workbookViewId="0">
      <selection activeCell="R58" sqref="R58"/>
    </sheetView>
  </sheetViews>
  <sheetFormatPr defaultColWidth="9.140625" defaultRowHeight="15" x14ac:dyDescent="0.25"/>
  <cols>
    <col min="1" max="1" width="23.7109375" style="36" bestFit="1" customWidth="1"/>
    <col min="2" max="2" width="11.5703125" style="36" bestFit="1" customWidth="1"/>
    <col min="3" max="3" width="6" style="43" bestFit="1" customWidth="1"/>
    <col min="4" max="4" width="8.85546875" style="43" bestFit="1" customWidth="1"/>
    <col min="5" max="5" width="11.5703125" style="43" bestFit="1" customWidth="1"/>
    <col min="6" max="6" width="8.85546875" style="43" customWidth="1"/>
    <col min="7" max="7" width="10" style="43" bestFit="1" customWidth="1"/>
    <col min="8" max="8" width="8.5703125" style="43" bestFit="1" customWidth="1"/>
    <col min="9" max="9" width="9.7109375" style="43" customWidth="1"/>
    <col min="10" max="10" width="8.42578125" style="43" bestFit="1" customWidth="1"/>
    <col min="11" max="11" width="7.5703125" style="43" bestFit="1" customWidth="1"/>
    <col min="12" max="12" width="10.5703125" style="43" bestFit="1" customWidth="1"/>
    <col min="13" max="13" width="5.7109375" style="43" customWidth="1"/>
    <col min="14" max="15" width="6" style="43" bestFit="1" customWidth="1"/>
    <col min="16" max="17" width="9.7109375" style="43" bestFit="1" customWidth="1"/>
    <col min="18" max="18" width="14.28515625" style="43" customWidth="1"/>
    <col min="19" max="19" width="6.5703125" style="43" bestFit="1" customWidth="1"/>
    <col min="20" max="21" width="9.140625" style="43"/>
    <col min="22" max="16384" width="9.140625" style="36"/>
  </cols>
  <sheetData>
    <row r="19" spans="1:21" ht="15.75" thickBot="1" x14ac:dyDescent="0.3"/>
    <row r="20" spans="1:21" x14ac:dyDescent="0.25">
      <c r="S20" s="138"/>
    </row>
    <row r="21" spans="1:21" x14ac:dyDescent="0.25">
      <c r="R21" s="42"/>
      <c r="S21" s="137"/>
    </row>
    <row r="22" spans="1:21" x14ac:dyDescent="0.25">
      <c r="S22" s="133"/>
    </row>
    <row r="23" spans="1:21" ht="15.75" thickBot="1" x14ac:dyDescent="0.3">
      <c r="S23" s="134"/>
    </row>
    <row r="24" spans="1:21" x14ac:dyDescent="0.25">
      <c r="J24" s="135"/>
      <c r="K24" s="135"/>
    </row>
    <row r="25" spans="1:21" ht="15.75" thickBot="1" x14ac:dyDescent="0.3">
      <c r="C25" s="135"/>
      <c r="D25" s="135"/>
      <c r="G25" s="42"/>
      <c r="I25" s="176" t="s">
        <v>135</v>
      </c>
      <c r="J25" s="180"/>
      <c r="K25" s="180"/>
      <c r="L25" s="180"/>
      <c r="M25" s="180"/>
      <c r="N25" s="180"/>
      <c r="O25" s="180"/>
      <c r="P25" s="180"/>
    </row>
    <row r="26" spans="1:21" ht="15.75" thickBot="1" x14ac:dyDescent="0.3">
      <c r="C26" s="173" t="s">
        <v>124</v>
      </c>
      <c r="D26" s="174"/>
      <c r="E26" s="174"/>
      <c r="F26" s="175"/>
      <c r="G26" s="173" t="s">
        <v>127</v>
      </c>
      <c r="H26" s="177"/>
      <c r="I26" s="173" t="s">
        <v>130</v>
      </c>
      <c r="J26" s="174"/>
      <c r="K26" s="175"/>
      <c r="L26" s="173" t="s">
        <v>132</v>
      </c>
      <c r="M26" s="175"/>
      <c r="N26" s="173" t="s">
        <v>134</v>
      </c>
      <c r="O26" s="178"/>
      <c r="P26" s="179"/>
      <c r="Q26" s="173" t="s">
        <v>138</v>
      </c>
      <c r="R26" s="174"/>
      <c r="S26" s="145"/>
    </row>
    <row r="27" spans="1:21" ht="44.25" customHeight="1" thickBot="1" x14ac:dyDescent="0.3">
      <c r="A27" s="142" t="s">
        <v>48</v>
      </c>
      <c r="B27" s="142"/>
      <c r="C27" s="166" t="s">
        <v>155</v>
      </c>
      <c r="D27" s="167" t="s">
        <v>157</v>
      </c>
      <c r="E27" s="168" t="s">
        <v>122</v>
      </c>
      <c r="F27" s="169" t="s">
        <v>123</v>
      </c>
      <c r="G27" s="166" t="s">
        <v>125</v>
      </c>
      <c r="H27" s="169" t="s">
        <v>126</v>
      </c>
      <c r="I27" s="166" t="s">
        <v>174</v>
      </c>
      <c r="J27" s="168" t="s">
        <v>128</v>
      </c>
      <c r="K27" s="169" t="s">
        <v>129</v>
      </c>
      <c r="L27" s="166" t="s">
        <v>131</v>
      </c>
      <c r="M27" s="169" t="s">
        <v>91</v>
      </c>
      <c r="N27" s="166" t="s">
        <v>175</v>
      </c>
      <c r="O27" s="168" t="s">
        <v>177</v>
      </c>
      <c r="P27" s="169" t="s">
        <v>133</v>
      </c>
      <c r="Q27" s="166" t="s">
        <v>136</v>
      </c>
      <c r="R27" s="168" t="s">
        <v>137</v>
      </c>
      <c r="S27" s="155" t="s">
        <v>117</v>
      </c>
      <c r="T27" s="36"/>
      <c r="U27" s="36"/>
    </row>
    <row r="28" spans="1:21" ht="27" customHeight="1" thickBot="1" x14ac:dyDescent="0.3">
      <c r="A28" s="170" t="s">
        <v>139</v>
      </c>
      <c r="B28" s="146"/>
      <c r="C28" s="148">
        <v>0.19</v>
      </c>
      <c r="D28" s="151">
        <v>0.17</v>
      </c>
      <c r="E28" s="143">
        <v>0.05</v>
      </c>
      <c r="F28" s="144">
        <v>0.03</v>
      </c>
      <c r="G28" s="148">
        <v>0.05</v>
      </c>
      <c r="H28" s="144">
        <v>0.05</v>
      </c>
      <c r="I28" s="148">
        <v>0.01</v>
      </c>
      <c r="J28" s="143">
        <v>0.01</v>
      </c>
      <c r="K28" s="144">
        <v>0.01</v>
      </c>
      <c r="L28" s="148">
        <v>0.08</v>
      </c>
      <c r="M28" s="144">
        <v>0.03</v>
      </c>
      <c r="N28" s="148">
        <v>7.0000000000000007E-2</v>
      </c>
      <c r="O28" s="143">
        <v>0.02</v>
      </c>
      <c r="P28" s="144">
        <v>0.04</v>
      </c>
      <c r="Q28" s="148">
        <v>0.09</v>
      </c>
      <c r="R28" s="143">
        <v>0.09</v>
      </c>
      <c r="S28" s="212">
        <f>SUM(C28:R28)</f>
        <v>0.99</v>
      </c>
      <c r="T28" s="36"/>
      <c r="U28" s="36"/>
    </row>
    <row r="29" spans="1:21" ht="27" customHeight="1" thickBot="1" x14ac:dyDescent="0.3">
      <c r="A29" s="171" t="s">
        <v>102</v>
      </c>
      <c r="B29" s="147"/>
      <c r="C29" s="139" t="s">
        <v>164</v>
      </c>
      <c r="D29" s="152" t="s">
        <v>164</v>
      </c>
      <c r="E29" s="140" t="s">
        <v>140</v>
      </c>
      <c r="F29" s="141" t="s">
        <v>140</v>
      </c>
      <c r="G29" s="139" t="s">
        <v>20</v>
      </c>
      <c r="H29" s="141" t="s">
        <v>140</v>
      </c>
      <c r="I29" s="139" t="s">
        <v>140</v>
      </c>
      <c r="J29" s="140" t="s">
        <v>140</v>
      </c>
      <c r="K29" s="141" t="s">
        <v>140</v>
      </c>
      <c r="L29" s="139" t="s">
        <v>22</v>
      </c>
      <c r="M29" s="141" t="s">
        <v>140</v>
      </c>
      <c r="N29" s="139" t="s">
        <v>140</v>
      </c>
      <c r="O29" s="140" t="s">
        <v>140</v>
      </c>
      <c r="P29" s="141" t="s">
        <v>140</v>
      </c>
      <c r="Q29" s="139" t="s">
        <v>140</v>
      </c>
      <c r="R29" s="140" t="s">
        <v>140</v>
      </c>
      <c r="S29" s="156" t="s">
        <v>140</v>
      </c>
      <c r="T29" s="36"/>
      <c r="U29" s="36"/>
    </row>
    <row r="30" spans="1:21" ht="15.75" thickBot="1" x14ac:dyDescent="0.3">
      <c r="A30" s="172" t="s">
        <v>172</v>
      </c>
      <c r="B30" s="164" t="s">
        <v>165</v>
      </c>
      <c r="C30" s="157">
        <v>18000</v>
      </c>
      <c r="D30" s="158">
        <f>R49</f>
        <v>5544.930589420951</v>
      </c>
      <c r="E30" s="159">
        <v>2014</v>
      </c>
      <c r="F30" s="160">
        <v>18000</v>
      </c>
      <c r="G30" s="213" t="s">
        <v>173</v>
      </c>
      <c r="H30" s="160">
        <v>4</v>
      </c>
      <c r="I30" s="159">
        <v>8.6999999999999993</v>
      </c>
      <c r="J30" s="159">
        <v>4</v>
      </c>
      <c r="K30" s="159">
        <v>10</v>
      </c>
      <c r="L30" s="213" t="s">
        <v>82</v>
      </c>
      <c r="M30" s="160">
        <v>200</v>
      </c>
      <c r="N30" s="159">
        <v>13.1</v>
      </c>
      <c r="O30" s="159">
        <v>38.9</v>
      </c>
      <c r="P30" s="161">
        <v>5</v>
      </c>
      <c r="Q30" s="161">
        <v>39</v>
      </c>
      <c r="R30" s="162">
        <v>43</v>
      </c>
      <c r="S30" s="163"/>
      <c r="U30" s="36"/>
    </row>
    <row r="31" spans="1:21" ht="15.75" thickBot="1" x14ac:dyDescent="0.3">
      <c r="A31" s="172"/>
      <c r="B31" s="165" t="s">
        <v>166</v>
      </c>
      <c r="C31" s="149">
        <f ca="1">$C$28*IF($C$29="Min",MIN($C$30:$C$41)/C30,C30/MAX($C$30:$C$41))</f>
        <v>0</v>
      </c>
      <c r="D31" s="149" t="e">
        <f ca="1">$D$28*IF($D$29="Min",MIN($D$29:$D$40)/D30,D30/MAX($D$30:$D$41))</f>
        <v>#DIV/0!</v>
      </c>
      <c r="E31" s="149">
        <f ca="1">$E$28*IF($E$29="Min",MIN($E$30:$E$41)/E30,E30/MAX($E$30:$E$41))</f>
        <v>0</v>
      </c>
      <c r="F31" s="149">
        <f ca="1">$F$28*IF($F$29="Min",MIN($F$30:$F$41)/F30,F30/MAX($F$30:$F$41))</f>
        <v>0</v>
      </c>
      <c r="G31" s="149">
        <f>$G$28*IF(G30=$G$29,1,0)</f>
        <v>0</v>
      </c>
      <c r="H31" s="149">
        <f ca="1">$H$28*IF($H$29="Min",MIN($H$30:$H$41)/H30,H30/MAX($H$30:$H$41))</f>
        <v>0</v>
      </c>
      <c r="I31" s="149">
        <f ca="1">$I$28*IF($I$29="Min",MIN($I$30:$I$41)/I30,I30/MAX($I$30:$I$41))</f>
        <v>0</v>
      </c>
      <c r="J31" s="149">
        <f ca="1">$J$28*IF($J$29="Min",MIN($J$30:$J$41)/J30,J30/MAX($J$30:$J$41))</f>
        <v>0</v>
      </c>
      <c r="K31" s="149">
        <f ca="1">$K$28*IF($K$29="Min",MIN($K$30:$K$41)/K30,K30/MAX($K$30:$K$41))</f>
        <v>0</v>
      </c>
      <c r="L31" s="149">
        <f>$L$28*IF(L30=$L$29,1,IF(L30="AWD",0.5,0))</f>
        <v>0</v>
      </c>
      <c r="M31" s="149">
        <f ca="1">$M$28*IF($M$29="Min",MIN($M$30:$M$41)/M30,M30/MAX($M$30:$M$41))</f>
        <v>0</v>
      </c>
      <c r="N31" s="149">
        <f ca="1">$N$28*IF($N$29="Min",MIN($N$30:$N$41)/N30,N30/MAX($N$30:$N$41))</f>
        <v>0</v>
      </c>
      <c r="O31" s="149">
        <f ca="1">$O$28*IF($O$29="Min",MIN($O$30:$O$41)/O30,O30/MAX($O$30:$O$41))</f>
        <v>0</v>
      </c>
      <c r="P31" s="149">
        <f ca="1">$P$28*IF($P$29="Min",MIN($P$30:$P$41)/P30,P30/MAX($P$30:$P$41))</f>
        <v>0</v>
      </c>
      <c r="Q31" s="149">
        <f ca="1">$Q$28*IF($Q$29="Min",MIN($Q$30:$Q$41)/Q30,Q30/MAX($Q$30:$Q$41))</f>
        <v>0</v>
      </c>
      <c r="R31" s="149">
        <f ca="1">$R$28*IF($R$29="Min",MIN($R$30:$R$41)/R30,R30/MAX($R$30:$R$41))</f>
        <v>0</v>
      </c>
      <c r="S31" s="163">
        <f ca="1">SUM(C31:R31)</f>
        <v>0</v>
      </c>
      <c r="U31" s="36"/>
    </row>
    <row r="32" spans="1:21" ht="15.75" thickBot="1" x14ac:dyDescent="0.3">
      <c r="A32" s="209" t="s">
        <v>176</v>
      </c>
      <c r="B32" s="164" t="s">
        <v>165</v>
      </c>
      <c r="C32" s="149">
        <v>27964</v>
      </c>
      <c r="D32" s="149">
        <f>R51</f>
        <v>6995.1432051156617</v>
      </c>
      <c r="E32" s="149">
        <v>2016</v>
      </c>
      <c r="F32" s="149">
        <v>27964</v>
      </c>
      <c r="G32" s="214" t="s">
        <v>173</v>
      </c>
      <c r="H32" s="149">
        <v>4</v>
      </c>
      <c r="I32" s="149">
        <v>8</v>
      </c>
      <c r="J32" s="149">
        <v>4</v>
      </c>
      <c r="K32" s="149">
        <v>8</v>
      </c>
      <c r="L32" s="214" t="s">
        <v>83</v>
      </c>
      <c r="M32" s="149">
        <v>194</v>
      </c>
      <c r="N32" s="149">
        <v>35.6</v>
      </c>
      <c r="O32" s="149">
        <v>37.200000000000003</v>
      </c>
      <c r="P32" s="149">
        <v>5</v>
      </c>
      <c r="Q32" s="149">
        <v>31</v>
      </c>
      <c r="R32" s="149">
        <v>34</v>
      </c>
      <c r="S32" s="163"/>
      <c r="U32" s="36"/>
    </row>
    <row r="33" spans="1:21" ht="15.75" thickBot="1" x14ac:dyDescent="0.3">
      <c r="A33" s="209"/>
      <c r="B33" s="165" t="s">
        <v>166</v>
      </c>
      <c r="C33" s="149">
        <f ca="1">$C$28*IF($C$29="Min",MIN($C$30:$C$41)/C32,C32/MAX($C$30:$C$41))</f>
        <v>0</v>
      </c>
      <c r="D33" s="149" t="e">
        <f t="shared" ref="D33:D41" ca="1" si="0">$D$28*IF($D$29="Min",MIN($D$29:$D$40)/D32,D32/MAX($D$30:$D$41))</f>
        <v>#DIV/0!</v>
      </c>
      <c r="E33" s="149">
        <f t="shared" ref="E33:E41" ca="1" si="1">$E$28*IF($E$29="Min",MIN($E$30:$E$41)/E32,E32/MAX($E$30:$E$41))</f>
        <v>0</v>
      </c>
      <c r="F33" s="149">
        <f t="shared" ref="F33:F41" ca="1" si="2">$F$28*IF($F$29="Min",MIN($F$30:$F$41)/F32,F32/MAX($F$30:$F$41))</f>
        <v>0</v>
      </c>
      <c r="G33" s="149">
        <f t="shared" ref="G33:G41" si="3">$G$28*IF(G32=$G$29,1,0)</f>
        <v>0</v>
      </c>
      <c r="H33" s="149">
        <f t="shared" ref="H33:H41" ca="1" si="4">$H$28*IF($H$29="Min",MIN($H$30:$H$41)/H32,H32/MAX($H$30:$H$41))</f>
        <v>0</v>
      </c>
      <c r="I33" s="149">
        <f t="shared" ref="I33:I41" ca="1" si="5">$I$28*IF($I$29="Min",MIN($I$30:$I$41)/I32,I32/MAX($I$30:$I$41))</f>
        <v>0</v>
      </c>
      <c r="J33" s="149">
        <f t="shared" ref="J33:J41" ca="1" si="6">$J$28*IF($J$29="Min",MIN($J$30:$J$41)/J32,J32/MAX($J$30:$J$41))</f>
        <v>0</v>
      </c>
      <c r="K33" s="149">
        <f t="shared" ref="K33:K41" ca="1" si="7">$K$28*IF($K$29="Min",MIN($K$30:$K$41)/K32,K32/MAX($K$30:$K$41))</f>
        <v>0</v>
      </c>
      <c r="L33" s="149">
        <f t="shared" ref="L33:L39" si="8">$L$28*IF(L32=$L$29,1,IF(L32="AWD",0.5,0))</f>
        <v>0.04</v>
      </c>
      <c r="M33" s="149">
        <f t="shared" ref="M33:M41" ca="1" si="9">$M$28*IF($M$29="Min",MIN($M$30:$M$41)/M32,M32/MAX($M$30:$M$41))</f>
        <v>0</v>
      </c>
      <c r="N33" s="149">
        <f t="shared" ref="N33:N41" ca="1" si="10">$N$28*IF($N$29="Min",MIN($N$30:$N$41)/N32,N32/MAX($N$30:$N$41))</f>
        <v>0</v>
      </c>
      <c r="O33" s="149">
        <f t="shared" ref="O33:O41" ca="1" si="11">$O$28*IF($O$29="Min",MIN($O$30:$O$41)/O32,O32/MAX($O$30:$O$41))</f>
        <v>0</v>
      </c>
      <c r="P33" s="149">
        <f t="shared" ref="P33:P41" ca="1" si="12">$P$28*IF($P$29="Min",MIN($P$30:$P$41)/P32,P32/MAX($P$30:$P$41))</f>
        <v>0</v>
      </c>
      <c r="Q33" s="149">
        <f t="shared" ref="Q33:Q41" ca="1" si="13">$Q$28*IF($Q$29="Min",MIN($Q$30:$Q$41)/Q32,Q32/MAX($Q$30:$Q$41))</f>
        <v>0</v>
      </c>
      <c r="R33" s="149">
        <f t="shared" ref="R33:R41" ca="1" si="14">$R$28*IF($R$29="Min",MIN($R$30:$R$41)/R32,R32/MAX($R$30:$R$41))</f>
        <v>0</v>
      </c>
      <c r="S33" s="163">
        <f ca="1">SUM(C33:R33)</f>
        <v>0</v>
      </c>
      <c r="U33" s="36"/>
    </row>
    <row r="34" spans="1:21" ht="15.75" thickBot="1" x14ac:dyDescent="0.3">
      <c r="A34" s="209" t="s">
        <v>167</v>
      </c>
      <c r="B34" s="164" t="s">
        <v>165</v>
      </c>
      <c r="C34" s="149"/>
      <c r="D34" s="149" t="e">
        <f>R53</f>
        <v>#DIV/0!</v>
      </c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63"/>
      <c r="U34" s="36"/>
    </row>
    <row r="35" spans="1:21" ht="15.75" thickBot="1" x14ac:dyDescent="0.3">
      <c r="A35" s="209"/>
      <c r="B35" s="165" t="s">
        <v>166</v>
      </c>
      <c r="C35" s="149">
        <f t="shared" ref="C35:C41" ca="1" si="15">$C$28*IF($C$29="Min",MIN($C$30:$C$41)/C34,C34/MAX($C$30:$C$41))</f>
        <v>0</v>
      </c>
      <c r="D35" s="149" t="e">
        <f t="shared" ca="1" si="0"/>
        <v>#DIV/0!</v>
      </c>
      <c r="E35" s="149">
        <f t="shared" ca="1" si="1"/>
        <v>0</v>
      </c>
      <c r="F35" s="149">
        <f t="shared" ca="1" si="2"/>
        <v>0</v>
      </c>
      <c r="G35" s="149">
        <f t="shared" si="3"/>
        <v>0</v>
      </c>
      <c r="H35" s="149">
        <f t="shared" ca="1" si="4"/>
        <v>0</v>
      </c>
      <c r="I35" s="149">
        <f t="shared" ca="1" si="5"/>
        <v>0</v>
      </c>
      <c r="J35" s="149">
        <f t="shared" ca="1" si="6"/>
        <v>0</v>
      </c>
      <c r="K35" s="149">
        <f t="shared" ca="1" si="7"/>
        <v>0</v>
      </c>
      <c r="L35" s="149">
        <f t="shared" si="8"/>
        <v>0</v>
      </c>
      <c r="M35" s="149">
        <f t="shared" ca="1" si="9"/>
        <v>0</v>
      </c>
      <c r="N35" s="149">
        <f t="shared" ca="1" si="10"/>
        <v>0</v>
      </c>
      <c r="O35" s="149">
        <f t="shared" ca="1" si="11"/>
        <v>0</v>
      </c>
      <c r="P35" s="149">
        <f t="shared" ca="1" si="12"/>
        <v>0</v>
      </c>
      <c r="Q35" s="149">
        <f t="shared" ca="1" si="13"/>
        <v>0</v>
      </c>
      <c r="R35" s="149">
        <f t="shared" ca="1" si="14"/>
        <v>0</v>
      </c>
      <c r="S35" s="163">
        <f ca="1">SUM(C35:R35)</f>
        <v>0</v>
      </c>
    </row>
    <row r="36" spans="1:21" ht="15.75" thickBot="1" x14ac:dyDescent="0.3">
      <c r="A36" s="209" t="s">
        <v>168</v>
      </c>
      <c r="B36" s="164" t="s">
        <v>165</v>
      </c>
      <c r="C36" s="149"/>
      <c r="D36" s="149" t="e">
        <f>R55</f>
        <v>#DIV/0!</v>
      </c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63"/>
    </row>
    <row r="37" spans="1:21" ht="15.75" thickBot="1" x14ac:dyDescent="0.3">
      <c r="A37" s="209"/>
      <c r="B37" s="165" t="s">
        <v>166</v>
      </c>
      <c r="C37" s="149">
        <f t="shared" ca="1" si="15"/>
        <v>0</v>
      </c>
      <c r="D37" s="149" t="e">
        <f t="shared" ca="1" si="0"/>
        <v>#DIV/0!</v>
      </c>
      <c r="E37" s="149">
        <f t="shared" ca="1" si="1"/>
        <v>0</v>
      </c>
      <c r="F37" s="149">
        <f t="shared" ca="1" si="2"/>
        <v>0</v>
      </c>
      <c r="G37" s="149">
        <f t="shared" si="3"/>
        <v>0</v>
      </c>
      <c r="H37" s="149">
        <f t="shared" ca="1" si="4"/>
        <v>0</v>
      </c>
      <c r="I37" s="149">
        <f t="shared" ca="1" si="5"/>
        <v>0</v>
      </c>
      <c r="J37" s="149">
        <f t="shared" ca="1" si="6"/>
        <v>0</v>
      </c>
      <c r="K37" s="149">
        <f t="shared" ca="1" si="7"/>
        <v>0</v>
      </c>
      <c r="L37" s="149">
        <f t="shared" si="8"/>
        <v>0</v>
      </c>
      <c r="M37" s="149">
        <f t="shared" ca="1" si="9"/>
        <v>0</v>
      </c>
      <c r="N37" s="149">
        <f t="shared" ca="1" si="10"/>
        <v>0</v>
      </c>
      <c r="O37" s="149">
        <f t="shared" ca="1" si="11"/>
        <v>0</v>
      </c>
      <c r="P37" s="149">
        <f t="shared" ca="1" si="12"/>
        <v>0</v>
      </c>
      <c r="Q37" s="149">
        <f t="shared" ca="1" si="13"/>
        <v>0</v>
      </c>
      <c r="R37" s="149">
        <f t="shared" ca="1" si="14"/>
        <v>0</v>
      </c>
      <c r="S37" s="163">
        <f ca="1">SUM(C37:R37)</f>
        <v>0</v>
      </c>
    </row>
    <row r="38" spans="1:21" ht="15.75" thickBot="1" x14ac:dyDescent="0.3">
      <c r="A38" s="209" t="s">
        <v>169</v>
      </c>
      <c r="B38" s="164" t="s">
        <v>165</v>
      </c>
      <c r="C38" s="149"/>
      <c r="D38" s="149" t="e">
        <f>R57</f>
        <v>#DIV/0!</v>
      </c>
      <c r="E38" s="149"/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63"/>
    </row>
    <row r="39" spans="1:21" ht="15.75" thickBot="1" x14ac:dyDescent="0.3">
      <c r="A39" s="209"/>
      <c r="B39" s="165" t="s">
        <v>166</v>
      </c>
      <c r="C39" s="149">
        <f t="shared" ca="1" si="15"/>
        <v>0</v>
      </c>
      <c r="D39" s="149" t="e">
        <f t="shared" ca="1" si="0"/>
        <v>#DIV/0!</v>
      </c>
      <c r="E39" s="149">
        <f t="shared" ca="1" si="1"/>
        <v>0</v>
      </c>
      <c r="F39" s="149">
        <f t="shared" ca="1" si="2"/>
        <v>0</v>
      </c>
      <c r="G39" s="149">
        <f t="shared" si="3"/>
        <v>0</v>
      </c>
      <c r="H39" s="149">
        <f t="shared" ca="1" si="4"/>
        <v>0</v>
      </c>
      <c r="I39" s="149">
        <f t="shared" ca="1" si="5"/>
        <v>0</v>
      </c>
      <c r="J39" s="149">
        <f t="shared" ca="1" si="6"/>
        <v>0</v>
      </c>
      <c r="K39" s="149">
        <f t="shared" ca="1" si="7"/>
        <v>0</v>
      </c>
      <c r="L39" s="149">
        <f t="shared" si="8"/>
        <v>0</v>
      </c>
      <c r="M39" s="149">
        <f t="shared" ca="1" si="9"/>
        <v>0</v>
      </c>
      <c r="N39" s="149">
        <f t="shared" ca="1" si="10"/>
        <v>0</v>
      </c>
      <c r="O39" s="149">
        <f t="shared" ca="1" si="11"/>
        <v>0</v>
      </c>
      <c r="P39" s="149">
        <f t="shared" ca="1" si="12"/>
        <v>0</v>
      </c>
      <c r="Q39" s="149">
        <f t="shared" ca="1" si="13"/>
        <v>0</v>
      </c>
      <c r="R39" s="149">
        <f t="shared" ca="1" si="14"/>
        <v>0</v>
      </c>
      <c r="S39" s="163">
        <f ca="1">SUM(C39:R39)</f>
        <v>0</v>
      </c>
    </row>
    <row r="40" spans="1:21" ht="15.75" thickBot="1" x14ac:dyDescent="0.3">
      <c r="A40" s="210" t="s">
        <v>170</v>
      </c>
      <c r="B40" s="164" t="s">
        <v>165</v>
      </c>
      <c r="C40" s="149"/>
      <c r="D40" s="149" t="e">
        <f>R59</f>
        <v>#DIV/0!</v>
      </c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63"/>
    </row>
    <row r="41" spans="1:21" x14ac:dyDescent="0.25">
      <c r="A41" s="210"/>
      <c r="B41" s="165" t="s">
        <v>166</v>
      </c>
      <c r="C41" s="149">
        <f t="shared" ca="1" si="15"/>
        <v>0</v>
      </c>
      <c r="D41" s="149" t="e">
        <f t="shared" ca="1" si="0"/>
        <v>#DIV/0!</v>
      </c>
      <c r="E41" s="149">
        <f t="shared" ca="1" si="1"/>
        <v>0</v>
      </c>
      <c r="F41" s="149">
        <f t="shared" ca="1" si="2"/>
        <v>0</v>
      </c>
      <c r="G41" s="149">
        <f t="shared" si="3"/>
        <v>0</v>
      </c>
      <c r="H41" s="149">
        <f t="shared" ca="1" si="4"/>
        <v>0</v>
      </c>
      <c r="I41" s="149">
        <f t="shared" ca="1" si="5"/>
        <v>0</v>
      </c>
      <c r="J41" s="149">
        <f t="shared" ca="1" si="6"/>
        <v>0</v>
      </c>
      <c r="K41" s="149">
        <f t="shared" ca="1" si="7"/>
        <v>0</v>
      </c>
      <c r="L41" s="149">
        <f>$L$28*IF(L40=$L$29,1,IF(L40="AWD",0.5,0))</f>
        <v>0</v>
      </c>
      <c r="M41" s="149">
        <f t="shared" ca="1" si="9"/>
        <v>0</v>
      </c>
      <c r="N41" s="149">
        <f t="shared" ca="1" si="10"/>
        <v>0</v>
      </c>
      <c r="O41" s="149">
        <f t="shared" ca="1" si="11"/>
        <v>0</v>
      </c>
      <c r="P41" s="149">
        <f t="shared" ca="1" si="12"/>
        <v>0</v>
      </c>
      <c r="Q41" s="149">
        <f t="shared" ca="1" si="13"/>
        <v>0</v>
      </c>
      <c r="R41" s="149">
        <f t="shared" ca="1" si="14"/>
        <v>0</v>
      </c>
      <c r="S41" s="163">
        <f ca="1">SUM(C41:R41)</f>
        <v>0</v>
      </c>
    </row>
    <row r="43" spans="1:21" x14ac:dyDescent="0.25">
      <c r="F43" s="135" t="s">
        <v>157</v>
      </c>
      <c r="R43" s="135"/>
    </row>
    <row r="44" spans="1:21" x14ac:dyDescent="0.25">
      <c r="A44" s="153" t="s">
        <v>156</v>
      </c>
      <c r="B44" s="153"/>
      <c r="F44" s="43">
        <v>2016</v>
      </c>
      <c r="G44" s="43">
        <v>2017</v>
      </c>
      <c r="H44" s="43">
        <v>2018</v>
      </c>
      <c r="I44" s="43">
        <v>2019</v>
      </c>
      <c r="J44" s="43">
        <v>2020</v>
      </c>
      <c r="K44" s="43">
        <v>2021</v>
      </c>
      <c r="L44" s="43">
        <v>2022</v>
      </c>
      <c r="M44" s="43">
        <v>2023</v>
      </c>
      <c r="N44" s="43">
        <v>2024</v>
      </c>
      <c r="O44" s="43">
        <v>2025</v>
      </c>
      <c r="P44" s="43">
        <v>2026</v>
      </c>
      <c r="R44" s="135" t="s">
        <v>160</v>
      </c>
    </row>
    <row r="45" spans="1:21" x14ac:dyDescent="0.25">
      <c r="A45" s="36">
        <f>(365*10)+(52*10)+(12*150)+(2*1600)</f>
        <v>9170</v>
      </c>
      <c r="F45" s="154">
        <v>1.7</v>
      </c>
      <c r="G45" s="154">
        <f>F45*(1.055)</f>
        <v>1.7934999999999999</v>
      </c>
      <c r="H45" s="154">
        <f t="shared" ref="H45:P45" si="16">G45*(1.055)</f>
        <v>1.8921424999999998</v>
      </c>
      <c r="I45" s="154">
        <f t="shared" si="16"/>
        <v>1.9962103374999998</v>
      </c>
      <c r="J45" s="154">
        <f t="shared" si="16"/>
        <v>2.1060019060624997</v>
      </c>
      <c r="K45" s="154">
        <f t="shared" si="16"/>
        <v>2.2218320108959371</v>
      </c>
      <c r="L45" s="154">
        <f t="shared" si="16"/>
        <v>2.3440327714952134</v>
      </c>
      <c r="M45" s="154">
        <f t="shared" si="16"/>
        <v>2.4729545739274501</v>
      </c>
      <c r="N45" s="154">
        <f t="shared" si="16"/>
        <v>2.6089670754934597</v>
      </c>
      <c r="O45" s="154">
        <f t="shared" si="16"/>
        <v>2.7524602646455998</v>
      </c>
      <c r="P45" s="154">
        <f t="shared" si="16"/>
        <v>2.9038455792011075</v>
      </c>
    </row>
    <row r="47" spans="1:21" x14ac:dyDescent="0.25">
      <c r="Q47" s="176" t="s">
        <v>162</v>
      </c>
      <c r="R47" s="176"/>
    </row>
    <row r="48" spans="1:21" x14ac:dyDescent="0.25">
      <c r="A48" s="153" t="s">
        <v>158</v>
      </c>
      <c r="B48" s="153"/>
      <c r="C48" s="135" t="s">
        <v>41</v>
      </c>
      <c r="D48" s="211" t="s">
        <v>171</v>
      </c>
      <c r="E48" s="135" t="s">
        <v>159</v>
      </c>
      <c r="F48" s="43">
        <v>2016</v>
      </c>
      <c r="G48" s="43">
        <v>2017</v>
      </c>
      <c r="H48" s="43">
        <v>2018</v>
      </c>
      <c r="I48" s="43">
        <v>2019</v>
      </c>
      <c r="J48" s="43">
        <v>2020</v>
      </c>
      <c r="K48" s="43">
        <v>2021</v>
      </c>
      <c r="L48" s="43">
        <v>2022</v>
      </c>
      <c r="M48" s="43">
        <v>2023</v>
      </c>
      <c r="N48" s="43">
        <v>2024</v>
      </c>
      <c r="O48" s="43">
        <v>2025</v>
      </c>
      <c r="P48" s="43">
        <v>2026</v>
      </c>
      <c r="Q48" s="135" t="s">
        <v>163</v>
      </c>
      <c r="R48" s="135" t="s">
        <v>161</v>
      </c>
    </row>
    <row r="49" spans="1:18" x14ac:dyDescent="0.25">
      <c r="A49" s="36" t="str">
        <f>A30</f>
        <v>2014 Toyota Camry</v>
      </c>
      <c r="C49" s="36">
        <f>C30</f>
        <v>18000</v>
      </c>
      <c r="D49" s="43">
        <f>(Q30+R30)/2</f>
        <v>41</v>
      </c>
      <c r="E49" s="43">
        <f>$A$45/D49</f>
        <v>223.65853658536585</v>
      </c>
      <c r="F49" s="43">
        <f>F45*$E$49</f>
        <v>380.21951219512192</v>
      </c>
      <c r="G49" s="43">
        <f t="shared" ref="G49:P49" si="17">G45*$E$49</f>
        <v>401.13158536585365</v>
      </c>
      <c r="H49" s="43">
        <f t="shared" si="17"/>
        <v>423.19382256097555</v>
      </c>
      <c r="I49" s="43">
        <f t="shared" si="17"/>
        <v>446.4694828018292</v>
      </c>
      <c r="J49" s="43">
        <f t="shared" si="17"/>
        <v>471.02530435592979</v>
      </c>
      <c r="K49" s="43">
        <f t="shared" si="17"/>
        <v>496.93169609550591</v>
      </c>
      <c r="L49" s="43">
        <f t="shared" si="17"/>
        <v>524.26293938075867</v>
      </c>
      <c r="M49" s="43">
        <f t="shared" si="17"/>
        <v>553.09740104670038</v>
      </c>
      <c r="N49" s="43">
        <f t="shared" si="17"/>
        <v>583.51775810426886</v>
      </c>
      <c r="O49" s="43">
        <f t="shared" si="17"/>
        <v>615.61123480000367</v>
      </c>
      <c r="P49" s="43">
        <f t="shared" si="17"/>
        <v>649.46985271400376</v>
      </c>
      <c r="Q49" s="43">
        <f>SUM(F49:P49,C49)</f>
        <v>23544.93058942095</v>
      </c>
      <c r="R49" s="43">
        <f>SUM(F49:P49)</f>
        <v>5544.930589420951</v>
      </c>
    </row>
    <row r="50" spans="1:18" x14ac:dyDescent="0.25"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</row>
    <row r="51" spans="1:18" x14ac:dyDescent="0.25">
      <c r="A51" s="36" t="str">
        <f t="shared" ref="A50:A60" si="18">A32</f>
        <v>2016 Toyota Rav4 Hybrid XLE</v>
      </c>
      <c r="C51" s="43">
        <f>C32</f>
        <v>27964</v>
      </c>
      <c r="D51" s="43">
        <f>(Q32+R32)/2</f>
        <v>32.5</v>
      </c>
      <c r="E51" s="136">
        <f t="shared" ref="E50:E59" si="19">$A$45/D51</f>
        <v>282.15384615384613</v>
      </c>
      <c r="F51" s="136">
        <f>F45*$E$51</f>
        <v>479.66153846153838</v>
      </c>
      <c r="G51" s="136">
        <f t="shared" ref="G51:P51" si="20">G45*$E$51</f>
        <v>506.04292307692299</v>
      </c>
      <c r="H51" s="136">
        <f t="shared" si="20"/>
        <v>533.87528384615371</v>
      </c>
      <c r="I51" s="136">
        <f t="shared" si="20"/>
        <v>563.23842445769219</v>
      </c>
      <c r="J51" s="136">
        <f t="shared" si="20"/>
        <v>594.21653780286522</v>
      </c>
      <c r="K51" s="136">
        <f t="shared" si="20"/>
        <v>626.89844738202282</v>
      </c>
      <c r="L51" s="136">
        <f t="shared" si="20"/>
        <v>661.37786198803406</v>
      </c>
      <c r="M51" s="136">
        <f t="shared" si="20"/>
        <v>697.75364439737587</v>
      </c>
      <c r="N51" s="136">
        <f t="shared" si="20"/>
        <v>736.13009483923156</v>
      </c>
      <c r="O51" s="136">
        <f t="shared" si="20"/>
        <v>776.61725005538915</v>
      </c>
      <c r="P51" s="136">
        <f t="shared" si="20"/>
        <v>819.33119880843549</v>
      </c>
      <c r="Q51" s="136">
        <f t="shared" ref="Q50:Q59" si="21">SUM(F51:P51,C51)</f>
        <v>34959.143205115659</v>
      </c>
      <c r="R51" s="136">
        <f t="shared" ref="R50:R59" si="22">SUM(F51:P51)</f>
        <v>6995.1432051156617</v>
      </c>
    </row>
    <row r="52" spans="1:18" x14ac:dyDescent="0.25"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</row>
    <row r="53" spans="1:18" x14ac:dyDescent="0.25">
      <c r="A53" s="36" t="str">
        <f t="shared" si="18"/>
        <v>C</v>
      </c>
      <c r="C53" s="136">
        <f t="shared" ref="C52:C59" si="23">C34</f>
        <v>0</v>
      </c>
      <c r="D53" s="136">
        <f t="shared" ref="D52:D59" si="24">(Q34+R34)/2</f>
        <v>0</v>
      </c>
      <c r="E53" s="136" t="e">
        <f t="shared" si="19"/>
        <v>#DIV/0!</v>
      </c>
      <c r="F53" s="136" t="e">
        <f>F45*$E$53</f>
        <v>#DIV/0!</v>
      </c>
      <c r="G53" s="136" t="e">
        <f t="shared" ref="G53:P53" si="25">G45*$E$53</f>
        <v>#DIV/0!</v>
      </c>
      <c r="H53" s="136" t="e">
        <f t="shared" si="25"/>
        <v>#DIV/0!</v>
      </c>
      <c r="I53" s="136" t="e">
        <f t="shared" si="25"/>
        <v>#DIV/0!</v>
      </c>
      <c r="J53" s="136" t="e">
        <f t="shared" si="25"/>
        <v>#DIV/0!</v>
      </c>
      <c r="K53" s="136" t="e">
        <f t="shared" si="25"/>
        <v>#DIV/0!</v>
      </c>
      <c r="L53" s="136" t="e">
        <f t="shared" si="25"/>
        <v>#DIV/0!</v>
      </c>
      <c r="M53" s="136" t="e">
        <f t="shared" si="25"/>
        <v>#DIV/0!</v>
      </c>
      <c r="N53" s="136" t="e">
        <f t="shared" si="25"/>
        <v>#DIV/0!</v>
      </c>
      <c r="O53" s="136" t="e">
        <f t="shared" si="25"/>
        <v>#DIV/0!</v>
      </c>
      <c r="P53" s="136" t="e">
        <f t="shared" si="25"/>
        <v>#DIV/0!</v>
      </c>
      <c r="Q53" s="136" t="e">
        <f t="shared" si="21"/>
        <v>#DIV/0!</v>
      </c>
      <c r="R53" s="136" t="e">
        <f t="shared" si="22"/>
        <v>#DIV/0!</v>
      </c>
    </row>
    <row r="54" spans="1:18" x14ac:dyDescent="0.25">
      <c r="C54" s="136"/>
      <c r="D54" s="136"/>
      <c r="E54" s="136"/>
      <c r="F54" s="136">
        <f t="shared" ref="F54:P54" si="26">F50*$E$49</f>
        <v>0</v>
      </c>
      <c r="G54" s="136">
        <f t="shared" si="26"/>
        <v>0</v>
      </c>
      <c r="H54" s="136">
        <f t="shared" si="26"/>
        <v>0</v>
      </c>
      <c r="I54" s="136">
        <f t="shared" si="26"/>
        <v>0</v>
      </c>
      <c r="J54" s="136">
        <f t="shared" si="26"/>
        <v>0</v>
      </c>
      <c r="K54" s="136">
        <f t="shared" si="26"/>
        <v>0</v>
      </c>
      <c r="L54" s="136">
        <f t="shared" si="26"/>
        <v>0</v>
      </c>
      <c r="M54" s="136">
        <f t="shared" si="26"/>
        <v>0</v>
      </c>
      <c r="N54" s="136">
        <f t="shared" si="26"/>
        <v>0</v>
      </c>
      <c r="O54" s="136">
        <f t="shared" si="26"/>
        <v>0</v>
      </c>
      <c r="P54" s="136">
        <f t="shared" si="26"/>
        <v>0</v>
      </c>
      <c r="Q54" s="136">
        <f t="shared" si="21"/>
        <v>0</v>
      </c>
      <c r="R54" s="136"/>
    </row>
    <row r="55" spans="1:18" x14ac:dyDescent="0.25">
      <c r="A55" s="36" t="str">
        <f t="shared" si="18"/>
        <v>D</v>
      </c>
      <c r="C55" s="136">
        <f t="shared" si="23"/>
        <v>0</v>
      </c>
      <c r="D55" s="136">
        <f t="shared" si="24"/>
        <v>0</v>
      </c>
      <c r="E55" s="136" t="e">
        <f t="shared" si="19"/>
        <v>#DIV/0!</v>
      </c>
      <c r="F55" s="136" t="e">
        <f>F45*$E$55</f>
        <v>#DIV/0!</v>
      </c>
      <c r="G55" s="136" t="e">
        <f t="shared" ref="G55:P55" si="27">G45*$E$55</f>
        <v>#DIV/0!</v>
      </c>
      <c r="H55" s="136" t="e">
        <f t="shared" si="27"/>
        <v>#DIV/0!</v>
      </c>
      <c r="I55" s="136" t="e">
        <f t="shared" si="27"/>
        <v>#DIV/0!</v>
      </c>
      <c r="J55" s="136" t="e">
        <f t="shared" si="27"/>
        <v>#DIV/0!</v>
      </c>
      <c r="K55" s="136" t="e">
        <f t="shared" si="27"/>
        <v>#DIV/0!</v>
      </c>
      <c r="L55" s="136" t="e">
        <f t="shared" si="27"/>
        <v>#DIV/0!</v>
      </c>
      <c r="M55" s="136" t="e">
        <f t="shared" si="27"/>
        <v>#DIV/0!</v>
      </c>
      <c r="N55" s="136" t="e">
        <f t="shared" si="27"/>
        <v>#DIV/0!</v>
      </c>
      <c r="O55" s="136" t="e">
        <f t="shared" si="27"/>
        <v>#DIV/0!</v>
      </c>
      <c r="P55" s="136" t="e">
        <f t="shared" si="27"/>
        <v>#DIV/0!</v>
      </c>
      <c r="Q55" s="136" t="e">
        <f t="shared" si="21"/>
        <v>#DIV/0!</v>
      </c>
      <c r="R55" s="136" t="e">
        <f t="shared" si="22"/>
        <v>#DIV/0!</v>
      </c>
    </row>
    <row r="56" spans="1:18" x14ac:dyDescent="0.25">
      <c r="C56" s="136"/>
      <c r="D56" s="136"/>
      <c r="E56" s="136"/>
      <c r="F56" s="136">
        <f t="shared" ref="F56:P56" si="28">F52*$E$49</f>
        <v>0</v>
      </c>
      <c r="G56" s="136">
        <f t="shared" si="28"/>
        <v>0</v>
      </c>
      <c r="H56" s="136">
        <f t="shared" si="28"/>
        <v>0</v>
      </c>
      <c r="I56" s="136">
        <f t="shared" si="28"/>
        <v>0</v>
      </c>
      <c r="J56" s="136">
        <f t="shared" si="28"/>
        <v>0</v>
      </c>
      <c r="K56" s="136">
        <f t="shared" si="28"/>
        <v>0</v>
      </c>
      <c r="L56" s="136">
        <f t="shared" si="28"/>
        <v>0</v>
      </c>
      <c r="M56" s="136">
        <f t="shared" si="28"/>
        <v>0</v>
      </c>
      <c r="N56" s="136">
        <f t="shared" si="28"/>
        <v>0</v>
      </c>
      <c r="O56" s="136">
        <f t="shared" si="28"/>
        <v>0</v>
      </c>
      <c r="P56" s="136">
        <f t="shared" si="28"/>
        <v>0</v>
      </c>
      <c r="Q56" s="136">
        <f t="shared" si="21"/>
        <v>0</v>
      </c>
      <c r="R56" s="136"/>
    </row>
    <row r="57" spans="1:18" x14ac:dyDescent="0.25">
      <c r="A57" s="36" t="str">
        <f t="shared" si="18"/>
        <v>E</v>
      </c>
      <c r="C57" s="136">
        <f t="shared" si="23"/>
        <v>0</v>
      </c>
      <c r="D57" s="136">
        <f t="shared" si="24"/>
        <v>0</v>
      </c>
      <c r="E57" s="136" t="e">
        <f t="shared" si="19"/>
        <v>#DIV/0!</v>
      </c>
      <c r="F57" s="136" t="e">
        <f>F45*$E$57</f>
        <v>#DIV/0!</v>
      </c>
      <c r="G57" s="136" t="e">
        <f t="shared" ref="G57:P57" si="29">G45*$E$57</f>
        <v>#DIV/0!</v>
      </c>
      <c r="H57" s="136" t="e">
        <f t="shared" si="29"/>
        <v>#DIV/0!</v>
      </c>
      <c r="I57" s="136" t="e">
        <f t="shared" si="29"/>
        <v>#DIV/0!</v>
      </c>
      <c r="J57" s="136" t="e">
        <f t="shared" si="29"/>
        <v>#DIV/0!</v>
      </c>
      <c r="K57" s="136" t="e">
        <f t="shared" si="29"/>
        <v>#DIV/0!</v>
      </c>
      <c r="L57" s="136" t="e">
        <f t="shared" si="29"/>
        <v>#DIV/0!</v>
      </c>
      <c r="M57" s="136" t="e">
        <f t="shared" si="29"/>
        <v>#DIV/0!</v>
      </c>
      <c r="N57" s="136" t="e">
        <f t="shared" si="29"/>
        <v>#DIV/0!</v>
      </c>
      <c r="O57" s="136" t="e">
        <f t="shared" si="29"/>
        <v>#DIV/0!</v>
      </c>
      <c r="P57" s="136" t="e">
        <f t="shared" si="29"/>
        <v>#DIV/0!</v>
      </c>
      <c r="Q57" s="136" t="e">
        <f t="shared" si="21"/>
        <v>#DIV/0!</v>
      </c>
      <c r="R57" s="136" t="e">
        <f t="shared" si="22"/>
        <v>#DIV/0!</v>
      </c>
    </row>
    <row r="58" spans="1:18" x14ac:dyDescent="0.25">
      <c r="C58" s="136"/>
      <c r="D58" s="136"/>
      <c r="E58" s="136"/>
      <c r="F58" s="136">
        <f t="shared" ref="F58:P58" si="30">F54*$E$49</f>
        <v>0</v>
      </c>
      <c r="G58" s="136">
        <f t="shared" si="30"/>
        <v>0</v>
      </c>
      <c r="H58" s="136">
        <f t="shared" si="30"/>
        <v>0</v>
      </c>
      <c r="I58" s="136">
        <f t="shared" si="30"/>
        <v>0</v>
      </c>
      <c r="J58" s="136">
        <f t="shared" si="30"/>
        <v>0</v>
      </c>
      <c r="K58" s="136">
        <f t="shared" si="30"/>
        <v>0</v>
      </c>
      <c r="L58" s="136">
        <f t="shared" si="30"/>
        <v>0</v>
      </c>
      <c r="M58" s="136">
        <f t="shared" si="30"/>
        <v>0</v>
      </c>
      <c r="N58" s="136">
        <f t="shared" si="30"/>
        <v>0</v>
      </c>
      <c r="O58" s="136">
        <f t="shared" si="30"/>
        <v>0</v>
      </c>
      <c r="P58" s="136">
        <f t="shared" si="30"/>
        <v>0</v>
      </c>
      <c r="Q58" s="136">
        <f t="shared" si="21"/>
        <v>0</v>
      </c>
      <c r="R58" s="136"/>
    </row>
    <row r="59" spans="1:18" x14ac:dyDescent="0.25">
      <c r="A59" s="36" t="str">
        <f t="shared" si="18"/>
        <v>F</v>
      </c>
      <c r="C59" s="136">
        <f t="shared" si="23"/>
        <v>0</v>
      </c>
      <c r="D59" s="136">
        <f t="shared" si="24"/>
        <v>0</v>
      </c>
      <c r="E59" s="136" t="e">
        <f t="shared" si="19"/>
        <v>#DIV/0!</v>
      </c>
      <c r="F59" s="136" t="e">
        <f>F45*$E$59</f>
        <v>#DIV/0!</v>
      </c>
      <c r="G59" s="136" t="e">
        <f t="shared" ref="G59:P59" si="31">G45*$E$59</f>
        <v>#DIV/0!</v>
      </c>
      <c r="H59" s="136" t="e">
        <f t="shared" si="31"/>
        <v>#DIV/0!</v>
      </c>
      <c r="I59" s="136" t="e">
        <f t="shared" si="31"/>
        <v>#DIV/0!</v>
      </c>
      <c r="J59" s="136" t="e">
        <f t="shared" si="31"/>
        <v>#DIV/0!</v>
      </c>
      <c r="K59" s="136" t="e">
        <f t="shared" si="31"/>
        <v>#DIV/0!</v>
      </c>
      <c r="L59" s="136" t="e">
        <f t="shared" si="31"/>
        <v>#DIV/0!</v>
      </c>
      <c r="M59" s="136" t="e">
        <f t="shared" si="31"/>
        <v>#DIV/0!</v>
      </c>
      <c r="N59" s="136" t="e">
        <f t="shared" si="31"/>
        <v>#DIV/0!</v>
      </c>
      <c r="O59" s="136" t="e">
        <f t="shared" si="31"/>
        <v>#DIV/0!</v>
      </c>
      <c r="P59" s="136" t="e">
        <f t="shared" si="31"/>
        <v>#DIV/0!</v>
      </c>
      <c r="Q59" s="136" t="e">
        <f t="shared" si="21"/>
        <v>#DIV/0!</v>
      </c>
      <c r="R59" s="136" t="e">
        <f t="shared" si="22"/>
        <v>#DIV/0!</v>
      </c>
    </row>
  </sheetData>
  <mergeCells count="14">
    <mergeCell ref="A38:A39"/>
    <mergeCell ref="A40:A41"/>
    <mergeCell ref="A30:A31"/>
    <mergeCell ref="Q26:R26"/>
    <mergeCell ref="Q47:R47"/>
    <mergeCell ref="C26:F26"/>
    <mergeCell ref="G26:H26"/>
    <mergeCell ref="I26:K26"/>
    <mergeCell ref="L26:M26"/>
    <mergeCell ref="N26:P26"/>
    <mergeCell ref="I25:P25"/>
    <mergeCell ref="A32:A33"/>
    <mergeCell ref="A34:A35"/>
    <mergeCell ref="A36:A37"/>
  </mergeCells>
  <pageMargins left="0" right="0" top="0" bottom="0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 tint="0.79998168889431442"/>
  </sheetPr>
  <dimension ref="A1:BO123"/>
  <sheetViews>
    <sheetView topLeftCell="A80" zoomScale="70" zoomScaleNormal="70" workbookViewId="0">
      <selection activeCell="H89" sqref="H89"/>
    </sheetView>
  </sheetViews>
  <sheetFormatPr defaultColWidth="8.85546875" defaultRowHeight="12.75" x14ac:dyDescent="0.2"/>
  <cols>
    <col min="1" max="1" width="47.85546875" style="2" bestFit="1" customWidth="1"/>
    <col min="2" max="33" width="15.7109375" style="2" customWidth="1"/>
    <col min="34" max="34" width="7.42578125" style="2" bestFit="1" customWidth="1"/>
    <col min="35" max="35" width="37.140625" style="2" bestFit="1" customWidth="1"/>
    <col min="36" max="36" width="14.85546875" style="2" bestFit="1" customWidth="1"/>
    <col min="37" max="37" width="11.140625" style="2" bestFit="1" customWidth="1"/>
    <col min="38" max="39" width="8.7109375" style="2" customWidth="1"/>
    <col min="40" max="40" width="11.140625" style="2" customWidth="1"/>
    <col min="41" max="41" width="19" style="2" customWidth="1"/>
    <col min="42" max="42" width="10.140625" style="2" customWidth="1"/>
    <col min="43" max="43" width="14" style="2" customWidth="1"/>
    <col min="44" max="44" width="8.85546875" style="2" customWidth="1"/>
    <col min="45" max="48" width="8.85546875" style="2"/>
    <col min="49" max="49" width="9.42578125" style="2" customWidth="1"/>
    <col min="50" max="16384" width="8.85546875" style="2"/>
  </cols>
  <sheetData>
    <row r="1" spans="1:52" ht="18" x14ac:dyDescent="0.25">
      <c r="A1" s="197" t="s">
        <v>103</v>
      </c>
      <c r="B1" s="197"/>
      <c r="C1" s="197"/>
      <c r="G1" s="24"/>
      <c r="H1" s="2" t="s">
        <v>7</v>
      </c>
      <c r="S1" s="31"/>
      <c r="V1" s="2" t="s">
        <v>7</v>
      </c>
    </row>
    <row r="2" spans="1:52" ht="18" x14ac:dyDescent="0.25">
      <c r="A2" s="33"/>
      <c r="B2" s="33"/>
      <c r="C2" s="33"/>
      <c r="G2" s="31"/>
      <c r="S2" s="31"/>
    </row>
    <row r="3" spans="1:52" ht="25.5" x14ac:dyDescent="0.2">
      <c r="D3" s="13"/>
      <c r="E3" s="38" t="s">
        <v>23</v>
      </c>
      <c r="F3" s="30" t="s">
        <v>24</v>
      </c>
      <c r="G3" s="39"/>
      <c r="H3" s="13"/>
      <c r="I3" s="13"/>
      <c r="J3" s="39"/>
      <c r="K3" s="39"/>
      <c r="L3" s="13"/>
      <c r="O3" s="13"/>
      <c r="P3" s="13"/>
      <c r="Q3" s="13"/>
      <c r="R3" s="50" t="s">
        <v>23</v>
      </c>
      <c r="S3" s="49" t="s">
        <v>105</v>
      </c>
      <c r="T3" s="13"/>
      <c r="U3" s="13"/>
      <c r="V3" s="13"/>
      <c r="W3" s="13"/>
      <c r="X3" s="39"/>
      <c r="Y3" s="39"/>
      <c r="Z3" s="39"/>
      <c r="AA3" s="39"/>
      <c r="AB3" s="39"/>
      <c r="AC3" s="39"/>
      <c r="AD3" s="50" t="s">
        <v>23</v>
      </c>
      <c r="AE3" s="49" t="s">
        <v>106</v>
      </c>
      <c r="AF3" s="3" t="s">
        <v>12</v>
      </c>
      <c r="AG3" s="39"/>
    </row>
    <row r="4" spans="1:52" ht="13.5" thickBot="1" x14ac:dyDescent="0.25">
      <c r="D4" s="13"/>
      <c r="E4" s="41">
        <v>100</v>
      </c>
      <c r="F4" s="54">
        <f>E4/$AF$4</f>
        <v>0.43478260869565216</v>
      </c>
      <c r="G4" s="55"/>
      <c r="H4" s="13"/>
      <c r="I4" s="13"/>
      <c r="J4" s="13"/>
      <c r="K4" s="55"/>
      <c r="L4" s="13"/>
      <c r="M4" s="55"/>
      <c r="O4" s="55"/>
      <c r="P4" s="13"/>
      <c r="Q4" s="55"/>
      <c r="R4" s="41">
        <v>80</v>
      </c>
      <c r="S4" s="54">
        <f>R4/$AF$4</f>
        <v>0.34782608695652173</v>
      </c>
      <c r="T4" s="13"/>
      <c r="U4" s="26"/>
      <c r="V4" s="13"/>
      <c r="W4" s="13"/>
      <c r="X4" s="13"/>
      <c r="Y4" s="26"/>
      <c r="Z4" s="13"/>
      <c r="AA4" s="26"/>
      <c r="AB4" s="13"/>
      <c r="AC4" s="26"/>
      <c r="AD4" s="41">
        <v>50</v>
      </c>
      <c r="AE4" s="54">
        <f>AD4/$AF$4</f>
        <v>0.21739130434782608</v>
      </c>
      <c r="AF4" s="56">
        <f>SUM(AD4,R4,E4)</f>
        <v>230</v>
      </c>
      <c r="AG4" s="26"/>
    </row>
    <row r="5" spans="1:52" ht="15.75" customHeight="1" thickBot="1" x14ac:dyDescent="0.3">
      <c r="A5" s="9" t="s">
        <v>16</v>
      </c>
      <c r="B5" s="199" t="s">
        <v>66</v>
      </c>
      <c r="C5" s="200"/>
      <c r="D5" s="200"/>
      <c r="E5" s="200"/>
      <c r="F5" s="200"/>
      <c r="G5" s="200"/>
      <c r="H5" s="200"/>
      <c r="I5" s="200"/>
      <c r="J5" s="199" t="s">
        <v>67</v>
      </c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191" t="s">
        <v>65</v>
      </c>
      <c r="AC5" s="192"/>
      <c r="AD5" s="192"/>
      <c r="AE5" s="192"/>
      <c r="AF5" s="192"/>
      <c r="AG5" s="193"/>
      <c r="AH5" s="6"/>
    </row>
    <row r="6" spans="1:52" ht="25.5" x14ac:dyDescent="0.2">
      <c r="B6" s="4"/>
      <c r="C6" s="4"/>
      <c r="D6" s="4"/>
      <c r="E6" s="4"/>
      <c r="F6" s="4"/>
      <c r="G6" s="4"/>
      <c r="M6" s="50" t="s">
        <v>23</v>
      </c>
      <c r="N6" s="49" t="s">
        <v>108</v>
      </c>
      <c r="R6" s="4"/>
      <c r="S6" s="50" t="s">
        <v>23</v>
      </c>
      <c r="T6" s="49" t="s">
        <v>109</v>
      </c>
      <c r="X6" s="50" t="s">
        <v>23</v>
      </c>
      <c r="Y6" s="49" t="s">
        <v>107</v>
      </c>
      <c r="Z6" s="3" t="s">
        <v>12</v>
      </c>
    </row>
    <row r="7" spans="1:52" ht="13.5" thickBot="1" x14ac:dyDescent="0.25">
      <c r="B7" s="4"/>
      <c r="C7" s="4"/>
      <c r="D7" s="4"/>
      <c r="E7" s="4"/>
      <c r="F7" s="4"/>
      <c r="G7" s="4"/>
      <c r="M7" s="41">
        <v>30</v>
      </c>
      <c r="N7" s="54">
        <f>M7/Z7</f>
        <v>0.21428571428571427</v>
      </c>
      <c r="R7" s="4"/>
      <c r="S7" s="41">
        <v>40</v>
      </c>
      <c r="T7" s="54">
        <f>S7/Z7</f>
        <v>0.2857142857142857</v>
      </c>
      <c r="X7" s="41">
        <v>70</v>
      </c>
      <c r="Y7" s="54">
        <f>X7/Z7</f>
        <v>0.5</v>
      </c>
      <c r="Z7" s="56">
        <f>SUM(X7,S7,M7)</f>
        <v>140</v>
      </c>
    </row>
    <row r="8" spans="1:52" ht="13.5" thickBot="1" x14ac:dyDescent="0.25">
      <c r="B8" s="4"/>
      <c r="C8" s="4"/>
      <c r="D8" s="4"/>
      <c r="E8" s="4"/>
      <c r="F8" s="4"/>
      <c r="G8" s="4"/>
      <c r="J8" s="201" t="s">
        <v>68</v>
      </c>
      <c r="K8" s="202"/>
      <c r="L8" s="202"/>
      <c r="M8" s="202"/>
      <c r="N8" s="202"/>
      <c r="O8" s="202"/>
      <c r="P8" s="202"/>
      <c r="Q8" s="203"/>
      <c r="R8" s="201" t="s">
        <v>69</v>
      </c>
      <c r="S8" s="202"/>
      <c r="T8" s="202"/>
      <c r="U8" s="203"/>
      <c r="V8" s="201" t="s">
        <v>70</v>
      </c>
      <c r="W8" s="202"/>
      <c r="X8" s="202"/>
      <c r="Y8" s="202"/>
      <c r="Z8" s="202"/>
      <c r="AA8" s="203"/>
      <c r="AB8" s="194" t="s">
        <v>65</v>
      </c>
      <c r="AC8" s="195"/>
      <c r="AD8" s="195"/>
      <c r="AE8" s="195"/>
      <c r="AF8" s="195"/>
      <c r="AG8" s="196"/>
    </row>
    <row r="9" spans="1:52" s="58" customFormat="1" ht="45" customHeight="1" thickBot="1" x14ac:dyDescent="0.25">
      <c r="A9" s="57" t="s">
        <v>15</v>
      </c>
      <c r="B9" s="185" t="s">
        <v>26</v>
      </c>
      <c r="C9" s="186"/>
      <c r="D9" s="185" t="s">
        <v>27</v>
      </c>
      <c r="E9" s="186"/>
      <c r="F9" s="185" t="s">
        <v>51</v>
      </c>
      <c r="G9" s="186"/>
      <c r="H9" s="185" t="s">
        <v>52</v>
      </c>
      <c r="I9" s="186"/>
      <c r="J9" s="59" t="s">
        <v>53</v>
      </c>
      <c r="K9" s="60"/>
      <c r="L9" s="59" t="s">
        <v>54</v>
      </c>
      <c r="M9" s="60"/>
      <c r="N9" s="187" t="s">
        <v>55</v>
      </c>
      <c r="O9" s="188"/>
      <c r="P9" s="187" t="s">
        <v>56</v>
      </c>
      <c r="Q9" s="188"/>
      <c r="R9" s="185" t="s">
        <v>57</v>
      </c>
      <c r="S9" s="186"/>
      <c r="T9" s="185" t="s">
        <v>58</v>
      </c>
      <c r="U9" s="186"/>
      <c r="V9" s="187" t="s">
        <v>59</v>
      </c>
      <c r="W9" s="188"/>
      <c r="X9" s="187" t="s">
        <v>60</v>
      </c>
      <c r="Y9" s="188"/>
      <c r="Z9" s="187" t="s">
        <v>61</v>
      </c>
      <c r="AA9" s="188"/>
      <c r="AB9" s="190" t="s">
        <v>62</v>
      </c>
      <c r="AC9" s="189"/>
      <c r="AD9" s="181" t="s">
        <v>63</v>
      </c>
      <c r="AE9" s="189"/>
      <c r="AF9" s="181" t="s">
        <v>64</v>
      </c>
      <c r="AG9" s="182"/>
      <c r="AP9" s="121">
        <v>100</v>
      </c>
      <c r="AQ9" s="121">
        <v>90</v>
      </c>
      <c r="AR9" s="121">
        <v>80</v>
      </c>
      <c r="AS9" s="121">
        <v>70</v>
      </c>
      <c r="AT9" s="121">
        <v>60</v>
      </c>
      <c r="AU9" s="121">
        <v>50</v>
      </c>
      <c r="AV9" s="121">
        <v>40</v>
      </c>
      <c r="AW9" s="121">
        <v>30</v>
      </c>
      <c r="AX9" s="121">
        <v>20</v>
      </c>
      <c r="AY9" s="121">
        <v>10</v>
      </c>
      <c r="AZ9" s="121">
        <v>0</v>
      </c>
    </row>
    <row r="10" spans="1:52" ht="51" customHeight="1" thickBot="1" x14ac:dyDescent="0.3">
      <c r="A10" s="40" t="s">
        <v>25</v>
      </c>
      <c r="B10" s="205">
        <v>100</v>
      </c>
      <c r="C10" s="206"/>
      <c r="D10" s="183">
        <v>40</v>
      </c>
      <c r="E10" s="206"/>
      <c r="F10" s="183">
        <v>50</v>
      </c>
      <c r="G10" s="206"/>
      <c r="H10" s="183">
        <v>50</v>
      </c>
      <c r="I10" s="184"/>
      <c r="J10" s="205">
        <v>50</v>
      </c>
      <c r="K10" s="206"/>
      <c r="L10" s="183">
        <v>20</v>
      </c>
      <c r="M10" s="183"/>
      <c r="N10" s="183">
        <v>100</v>
      </c>
      <c r="O10" s="183"/>
      <c r="P10" s="183">
        <v>80</v>
      </c>
      <c r="Q10" s="207"/>
      <c r="R10" s="205">
        <v>100</v>
      </c>
      <c r="S10" s="183"/>
      <c r="T10" s="183">
        <v>80</v>
      </c>
      <c r="U10" s="207"/>
      <c r="V10" s="205">
        <v>100</v>
      </c>
      <c r="W10" s="206"/>
      <c r="X10" s="183">
        <v>70</v>
      </c>
      <c r="Y10" s="206"/>
      <c r="Z10" s="183">
        <v>60</v>
      </c>
      <c r="AA10" s="184"/>
      <c r="AB10" s="205">
        <v>85</v>
      </c>
      <c r="AC10" s="206"/>
      <c r="AD10" s="183">
        <v>100</v>
      </c>
      <c r="AE10" s="206"/>
      <c r="AF10" s="183">
        <v>40</v>
      </c>
      <c r="AG10" s="184"/>
      <c r="AI10" s="8"/>
      <c r="AJ10" s="8"/>
      <c r="AK10" s="8"/>
      <c r="AL10" s="8"/>
      <c r="AM10" s="8"/>
      <c r="AN10" s="8"/>
      <c r="AO10" s="11" t="s">
        <v>42</v>
      </c>
      <c r="AP10" s="122" t="e">
        <f ca="1">AH65</f>
        <v>#VALUE!</v>
      </c>
      <c r="AQ10" s="28" t="e">
        <f t="dataTable" ref="AQ10:AZ21" dt2D="0" dtr="1" r1="E4" ca="1"/>
        <v>#VALUE!</v>
      </c>
      <c r="AR10" s="28" t="e">
        <v>#VALUE!</v>
      </c>
      <c r="AS10" s="28" t="e">
        <v>#VALUE!</v>
      </c>
      <c r="AT10" s="28" t="e">
        <v>#VALUE!</v>
      </c>
      <c r="AU10" s="28" t="e">
        <v>#VALUE!</v>
      </c>
      <c r="AV10" s="28" t="e">
        <v>#VALUE!</v>
      </c>
      <c r="AW10" s="28" t="e">
        <v>#VALUE!</v>
      </c>
      <c r="AX10" s="4" t="e">
        <v>#VALUE!</v>
      </c>
      <c r="AY10" s="4" t="e">
        <v>#VALUE!</v>
      </c>
      <c r="AZ10" s="123" t="e">
        <v>#VALUE!</v>
      </c>
    </row>
    <row r="11" spans="1:52" ht="13.5" thickBot="1" x14ac:dyDescent="0.25">
      <c r="B11" s="68" t="s">
        <v>13</v>
      </c>
      <c r="C11" s="61" t="s">
        <v>5</v>
      </c>
      <c r="D11" s="69" t="s">
        <v>13</v>
      </c>
      <c r="E11" s="61" t="s">
        <v>5</v>
      </c>
      <c r="F11" s="69" t="s">
        <v>13</v>
      </c>
      <c r="G11" s="61" t="s">
        <v>5</v>
      </c>
      <c r="H11" s="69" t="s">
        <v>13</v>
      </c>
      <c r="I11" s="64" t="s">
        <v>5</v>
      </c>
      <c r="J11" s="72" t="s">
        <v>13</v>
      </c>
      <c r="K11" s="61" t="s">
        <v>5</v>
      </c>
      <c r="L11" s="62" t="s">
        <v>13</v>
      </c>
      <c r="M11" s="61" t="s">
        <v>5</v>
      </c>
      <c r="N11" s="62" t="s">
        <v>13</v>
      </c>
      <c r="O11" s="61" t="s">
        <v>5</v>
      </c>
      <c r="P11" s="63" t="s">
        <v>13</v>
      </c>
      <c r="Q11" s="64" t="s">
        <v>5</v>
      </c>
      <c r="R11" s="68" t="s">
        <v>13</v>
      </c>
      <c r="S11" s="61" t="s">
        <v>5</v>
      </c>
      <c r="T11" s="69" t="s">
        <v>13</v>
      </c>
      <c r="U11" s="64" t="s">
        <v>5</v>
      </c>
      <c r="V11" s="73" t="s">
        <v>13</v>
      </c>
      <c r="W11" s="61" t="s">
        <v>5</v>
      </c>
      <c r="X11" s="62" t="s">
        <v>13</v>
      </c>
      <c r="Y11" s="61" t="s">
        <v>5</v>
      </c>
      <c r="Z11" s="62" t="s">
        <v>13</v>
      </c>
      <c r="AA11" s="64" t="s">
        <v>5</v>
      </c>
      <c r="AB11" s="68" t="s">
        <v>13</v>
      </c>
      <c r="AC11" s="76" t="s">
        <v>5</v>
      </c>
      <c r="AD11" s="69" t="s">
        <v>13</v>
      </c>
      <c r="AE11" s="76" t="s">
        <v>5</v>
      </c>
      <c r="AF11" s="69" t="s">
        <v>13</v>
      </c>
      <c r="AG11" s="64" t="s">
        <v>5</v>
      </c>
      <c r="AI11" s="8"/>
      <c r="AJ11" s="8"/>
      <c r="AK11" s="8"/>
      <c r="AL11" s="8"/>
      <c r="AM11" s="8"/>
      <c r="AN11" s="8"/>
      <c r="AO11" s="11" t="s">
        <v>98</v>
      </c>
      <c r="AP11" s="122" t="e">
        <f t="shared" ref="AP11:AP19" ca="1" si="0">AH66</f>
        <v>#N/A</v>
      </c>
      <c r="AQ11" s="28" t="e">
        <v>#N/A</v>
      </c>
      <c r="AR11" s="28" t="e">
        <v>#N/A</v>
      </c>
      <c r="AS11" s="28" t="e">
        <v>#N/A</v>
      </c>
      <c r="AT11" s="28" t="e">
        <v>#N/A</v>
      </c>
      <c r="AU11" s="28" t="e">
        <v>#N/A</v>
      </c>
      <c r="AV11" s="28" t="e">
        <v>#N/A</v>
      </c>
      <c r="AW11" s="28" t="e">
        <v>#N/A</v>
      </c>
      <c r="AX11" s="4" t="e">
        <v>#N/A</v>
      </c>
      <c r="AY11" s="4" t="e">
        <v>#N/A</v>
      </c>
      <c r="AZ11" s="123" t="e">
        <v>#N/A</v>
      </c>
    </row>
    <row r="12" spans="1:52" s="5" customFormat="1" ht="15.75" thickBot="1" x14ac:dyDescent="0.3">
      <c r="A12" s="9" t="s">
        <v>9</v>
      </c>
      <c r="B12" s="70" t="s">
        <v>17</v>
      </c>
      <c r="C12" s="19">
        <f>B10/SUM($B$10:$I$10)</f>
        <v>0.41666666666666669</v>
      </c>
      <c r="D12" s="71" t="s">
        <v>21</v>
      </c>
      <c r="E12" s="19">
        <f>D10/SUM($B$10:$I$10)</f>
        <v>0.16666666666666666</v>
      </c>
      <c r="F12" s="71" t="s">
        <v>71</v>
      </c>
      <c r="G12" s="19">
        <f>F10/SUM($B$10:$I$10)</f>
        <v>0.20833333333333334</v>
      </c>
      <c r="H12" s="71" t="s">
        <v>72</v>
      </c>
      <c r="I12" s="19">
        <f>H10/SUM($B$10:$I$10)</f>
        <v>0.20833333333333334</v>
      </c>
      <c r="J12" s="65" t="s">
        <v>73</v>
      </c>
      <c r="K12" s="19">
        <f>J10/SUM($J$10:$Q$10)</f>
        <v>0.2</v>
      </c>
      <c r="L12" s="66" t="s">
        <v>74</v>
      </c>
      <c r="M12" s="19">
        <f>L10/SUM($J$10:$Q$10)</f>
        <v>0.08</v>
      </c>
      <c r="N12" s="66" t="s">
        <v>75</v>
      </c>
      <c r="O12" s="19">
        <f>N10/SUM($J$10:$Q$10)</f>
        <v>0.4</v>
      </c>
      <c r="P12" s="67" t="s">
        <v>76</v>
      </c>
      <c r="Q12" s="19">
        <f>P10/SUM($J$10:$Q$10)</f>
        <v>0.32</v>
      </c>
      <c r="R12" s="70" t="s">
        <v>77</v>
      </c>
      <c r="S12" s="19">
        <f>R10/SUM($R$10:$U$10)</f>
        <v>0.55555555555555558</v>
      </c>
      <c r="T12" s="71" t="s">
        <v>78</v>
      </c>
      <c r="U12" s="19">
        <f>T10/SUM($R$10:$U$10)</f>
        <v>0.44444444444444442</v>
      </c>
      <c r="V12" s="74" t="s">
        <v>84</v>
      </c>
      <c r="W12" s="19">
        <f>V10/SUM($V$10:$AA$10)</f>
        <v>0.43478260869565216</v>
      </c>
      <c r="X12" s="75" t="s">
        <v>79</v>
      </c>
      <c r="Y12" s="19">
        <f>X10/SUM($V$10:$AA$10)</f>
        <v>0.30434782608695654</v>
      </c>
      <c r="Z12" s="75" t="s">
        <v>80</v>
      </c>
      <c r="AA12" s="19">
        <f>Z10/SUM($V$10:$AA$10)</f>
        <v>0.2608695652173913</v>
      </c>
      <c r="AB12" s="70" t="s">
        <v>14</v>
      </c>
      <c r="AC12" s="19">
        <f>AB10/SUM($AB$10:$AG$10)</f>
        <v>0.37777777777777777</v>
      </c>
      <c r="AD12" s="70" t="s">
        <v>49</v>
      </c>
      <c r="AE12" s="19">
        <f>AD10/SUM($AB$10:$AG$10)</f>
        <v>0.44444444444444442</v>
      </c>
      <c r="AF12" s="70" t="s">
        <v>40</v>
      </c>
      <c r="AG12" s="19">
        <f>AF10/SUM($AB$10:$AG$10)</f>
        <v>0.17777777777777778</v>
      </c>
      <c r="AI12" s="97"/>
      <c r="AJ12" s="97"/>
      <c r="AK12" s="97"/>
      <c r="AL12" s="97"/>
      <c r="AM12" s="97"/>
      <c r="AN12" s="97"/>
      <c r="AO12" s="11" t="s">
        <v>43</v>
      </c>
      <c r="AP12" s="122" t="e">
        <f t="shared" ca="1" si="0"/>
        <v>#VALUE!</v>
      </c>
      <c r="AQ12" s="28" t="e">
        <v>#VALUE!</v>
      </c>
      <c r="AR12" s="28" t="e">
        <v>#VALUE!</v>
      </c>
      <c r="AS12" s="28" t="e">
        <v>#VALUE!</v>
      </c>
      <c r="AT12" s="28" t="e">
        <v>#VALUE!</v>
      </c>
      <c r="AU12" s="28" t="e">
        <v>#VALUE!</v>
      </c>
      <c r="AV12" s="28" t="e">
        <v>#VALUE!</v>
      </c>
      <c r="AW12" s="28" t="e">
        <v>#VALUE!</v>
      </c>
      <c r="AX12" s="4" t="e">
        <v>#VALUE!</v>
      </c>
      <c r="AY12" s="4" t="e">
        <v>#VALUE!</v>
      </c>
      <c r="AZ12" s="123" t="e">
        <v>#VALUE!</v>
      </c>
    </row>
    <row r="13" spans="1:52" ht="20.25" x14ac:dyDescent="0.3">
      <c r="A13" s="9" t="s">
        <v>10</v>
      </c>
      <c r="B13" s="1" t="s">
        <v>0</v>
      </c>
      <c r="C13" s="1" t="s">
        <v>1</v>
      </c>
      <c r="D13" s="1" t="s">
        <v>0</v>
      </c>
      <c r="E13" s="1" t="s">
        <v>1</v>
      </c>
      <c r="F13" s="1" t="s">
        <v>0</v>
      </c>
      <c r="G13" s="1" t="s">
        <v>1</v>
      </c>
      <c r="H13" s="1" t="s">
        <v>0</v>
      </c>
      <c r="I13" s="1" t="s">
        <v>1</v>
      </c>
      <c r="J13" s="1" t="s">
        <v>0</v>
      </c>
      <c r="K13" s="1" t="s">
        <v>1</v>
      </c>
      <c r="L13" s="1" t="s">
        <v>0</v>
      </c>
      <c r="M13" s="1" t="s">
        <v>1</v>
      </c>
      <c r="N13" s="1" t="s">
        <v>0</v>
      </c>
      <c r="O13" s="1" t="s">
        <v>1</v>
      </c>
      <c r="P13" s="1" t="s">
        <v>0</v>
      </c>
      <c r="Q13" s="1" t="s">
        <v>1</v>
      </c>
      <c r="R13" s="1" t="s">
        <v>0</v>
      </c>
      <c r="S13" s="1" t="s">
        <v>1</v>
      </c>
      <c r="T13" s="1" t="s">
        <v>0</v>
      </c>
      <c r="U13" s="1" t="s">
        <v>1</v>
      </c>
      <c r="V13" s="1" t="s">
        <v>0</v>
      </c>
      <c r="W13" s="1" t="s">
        <v>1</v>
      </c>
      <c r="X13" s="1" t="s">
        <v>0</v>
      </c>
      <c r="Y13" s="1" t="s">
        <v>1</v>
      </c>
      <c r="Z13" s="1" t="s">
        <v>0</v>
      </c>
      <c r="AA13" s="1" t="s">
        <v>1</v>
      </c>
      <c r="AB13" s="1" t="s">
        <v>0</v>
      </c>
      <c r="AC13" s="1" t="s">
        <v>1</v>
      </c>
      <c r="AD13" s="1" t="s">
        <v>0</v>
      </c>
      <c r="AE13" s="1" t="s">
        <v>1</v>
      </c>
      <c r="AF13" s="1" t="s">
        <v>0</v>
      </c>
      <c r="AG13" s="1" t="s">
        <v>1</v>
      </c>
      <c r="AI13" s="89"/>
      <c r="AJ13" s="89"/>
      <c r="AK13" s="89"/>
      <c r="AL13" s="89"/>
      <c r="AM13" s="89"/>
      <c r="AN13" s="89"/>
      <c r="AO13" s="11" t="s">
        <v>46</v>
      </c>
      <c r="AP13" s="122" t="e">
        <f t="shared" ca="1" si="0"/>
        <v>#N/A</v>
      </c>
      <c r="AQ13" s="95" t="e">
        <v>#N/A</v>
      </c>
      <c r="AR13" s="95" t="e">
        <v>#N/A</v>
      </c>
      <c r="AS13" s="95" t="e">
        <v>#N/A</v>
      </c>
      <c r="AT13" s="95" t="e">
        <v>#N/A</v>
      </c>
      <c r="AU13" s="95" t="e">
        <v>#N/A</v>
      </c>
      <c r="AV13" s="95" t="e">
        <v>#N/A</v>
      </c>
      <c r="AW13" s="95" t="e">
        <v>#N/A</v>
      </c>
      <c r="AX13" s="4" t="e">
        <v>#N/A</v>
      </c>
      <c r="AY13" s="4" t="e">
        <v>#N/A</v>
      </c>
      <c r="AZ13" s="123" t="e">
        <v>#N/A</v>
      </c>
    </row>
    <row r="14" spans="1:52" ht="15" x14ac:dyDescent="0.25">
      <c r="A14" s="34" t="s">
        <v>19</v>
      </c>
      <c r="B14" s="32">
        <v>14</v>
      </c>
      <c r="C14" s="35">
        <v>0</v>
      </c>
      <c r="D14" s="52">
        <v>500</v>
      </c>
      <c r="E14" s="15">
        <v>10</v>
      </c>
      <c r="F14" s="32" t="s">
        <v>45</v>
      </c>
      <c r="G14" s="15">
        <v>1</v>
      </c>
      <c r="H14" s="52">
        <v>200</v>
      </c>
      <c r="I14" s="15">
        <v>0</v>
      </c>
      <c r="J14" s="51">
        <v>0</v>
      </c>
      <c r="K14" s="15">
        <v>0</v>
      </c>
      <c r="L14" s="52">
        <v>55</v>
      </c>
      <c r="M14" s="15">
        <v>0</v>
      </c>
      <c r="N14" s="51">
        <v>40</v>
      </c>
      <c r="O14" s="15">
        <v>0</v>
      </c>
      <c r="P14" s="53">
        <v>4</v>
      </c>
      <c r="Q14" s="15">
        <v>0</v>
      </c>
      <c r="R14" s="118" t="s">
        <v>22</v>
      </c>
      <c r="S14" s="15">
        <v>10</v>
      </c>
      <c r="T14" s="52">
        <v>180</v>
      </c>
      <c r="U14" s="15">
        <v>0</v>
      </c>
      <c r="V14" s="51">
        <v>7</v>
      </c>
      <c r="W14" s="15">
        <v>0</v>
      </c>
      <c r="X14" s="52">
        <v>4</v>
      </c>
      <c r="Y14" s="15">
        <v>0</v>
      </c>
      <c r="Z14" s="52">
        <v>3</v>
      </c>
      <c r="AA14" s="15">
        <v>0</v>
      </c>
      <c r="AB14" s="52" t="s">
        <v>111</v>
      </c>
      <c r="AC14" s="15">
        <v>0</v>
      </c>
      <c r="AD14" s="52" t="s">
        <v>49</v>
      </c>
      <c r="AE14" s="15">
        <v>10</v>
      </c>
      <c r="AF14" s="52" t="s">
        <v>114</v>
      </c>
      <c r="AG14" s="15">
        <v>10</v>
      </c>
      <c r="AI14" s="8"/>
      <c r="AJ14" s="8"/>
      <c r="AK14" s="8"/>
      <c r="AL14" s="8"/>
      <c r="AM14" s="8"/>
      <c r="AN14" s="8"/>
      <c r="AO14" s="11" t="s">
        <v>44</v>
      </c>
      <c r="AP14" s="122" t="e">
        <f t="shared" ca="1" si="0"/>
        <v>#N/A</v>
      </c>
      <c r="AQ14" s="28" t="e">
        <v>#N/A</v>
      </c>
      <c r="AR14" s="28" t="e">
        <v>#N/A</v>
      </c>
      <c r="AS14" s="28" t="e">
        <v>#N/A</v>
      </c>
      <c r="AT14" s="28" t="e">
        <v>#N/A</v>
      </c>
      <c r="AU14" s="28" t="e">
        <v>#N/A</v>
      </c>
      <c r="AV14" s="28" t="e">
        <v>#N/A</v>
      </c>
      <c r="AW14" s="28" t="e">
        <v>#N/A</v>
      </c>
      <c r="AX14" s="4" t="e">
        <v>#N/A</v>
      </c>
      <c r="AY14" s="4" t="e">
        <v>#N/A</v>
      </c>
      <c r="AZ14" s="123" t="e">
        <v>#N/A</v>
      </c>
    </row>
    <row r="15" spans="1:52" ht="15" x14ac:dyDescent="0.25">
      <c r="A15" s="34" t="s">
        <v>18</v>
      </c>
      <c r="B15" s="32">
        <v>25</v>
      </c>
      <c r="C15" s="35">
        <v>3</v>
      </c>
      <c r="D15" s="52">
        <v>1000</v>
      </c>
      <c r="E15" s="15">
        <v>10</v>
      </c>
      <c r="F15" s="32" t="s">
        <v>96</v>
      </c>
      <c r="G15" s="15">
        <v>10</v>
      </c>
      <c r="H15" s="52">
        <v>300</v>
      </c>
      <c r="I15" s="15">
        <v>0</v>
      </c>
      <c r="J15" s="51">
        <v>10</v>
      </c>
      <c r="K15" s="15">
        <v>0</v>
      </c>
      <c r="L15" s="52">
        <v>57</v>
      </c>
      <c r="M15" s="15">
        <v>5</v>
      </c>
      <c r="N15" s="51">
        <v>42</v>
      </c>
      <c r="O15" s="15">
        <v>2</v>
      </c>
      <c r="P15" s="53">
        <v>5</v>
      </c>
      <c r="Q15" s="15">
        <v>8</v>
      </c>
      <c r="R15" s="32" t="s">
        <v>82</v>
      </c>
      <c r="S15" s="15">
        <v>2</v>
      </c>
      <c r="T15" s="52">
        <v>240</v>
      </c>
      <c r="U15" s="15">
        <v>4</v>
      </c>
      <c r="V15" s="51">
        <v>8</v>
      </c>
      <c r="W15" s="15">
        <v>0</v>
      </c>
      <c r="X15" s="52">
        <v>5</v>
      </c>
      <c r="Y15" s="15">
        <v>10</v>
      </c>
      <c r="Z15" s="52">
        <v>4</v>
      </c>
      <c r="AA15" s="15">
        <v>0</v>
      </c>
      <c r="AB15" s="52" t="s">
        <v>112</v>
      </c>
      <c r="AC15" s="15">
        <v>0</v>
      </c>
      <c r="AD15" s="52"/>
      <c r="AE15" s="15"/>
      <c r="AF15" s="52"/>
      <c r="AG15" s="15"/>
      <c r="AI15" s="8"/>
      <c r="AJ15" s="8"/>
      <c r="AK15" s="8"/>
      <c r="AL15" s="8"/>
      <c r="AM15" s="8"/>
      <c r="AN15" s="8"/>
      <c r="AO15" s="11" t="s">
        <v>95</v>
      </c>
      <c r="AP15" s="122" t="e">
        <f t="shared" ca="1" si="0"/>
        <v>#N/A</v>
      </c>
      <c r="AQ15" s="95" t="e">
        <v>#N/A</v>
      </c>
      <c r="AR15" s="95" t="e">
        <v>#N/A</v>
      </c>
      <c r="AS15" s="95" t="e">
        <v>#N/A</v>
      </c>
      <c r="AT15" s="95" t="e">
        <v>#N/A</v>
      </c>
      <c r="AU15" s="95" t="e">
        <v>#N/A</v>
      </c>
      <c r="AV15" s="95" t="e">
        <v>#N/A</v>
      </c>
      <c r="AW15" s="28" t="e">
        <v>#N/A</v>
      </c>
      <c r="AX15" s="4" t="e">
        <v>#N/A</v>
      </c>
      <c r="AY15" s="4" t="e">
        <v>#N/A</v>
      </c>
      <c r="AZ15" s="123" t="e">
        <v>#N/A</v>
      </c>
    </row>
    <row r="16" spans="1:52" x14ac:dyDescent="0.2">
      <c r="B16" s="32">
        <v>30</v>
      </c>
      <c r="C16" s="35">
        <v>5</v>
      </c>
      <c r="D16" s="52">
        <v>3000</v>
      </c>
      <c r="E16" s="15">
        <v>6</v>
      </c>
      <c r="F16" s="32" t="s">
        <v>29</v>
      </c>
      <c r="G16" s="15">
        <v>5</v>
      </c>
      <c r="H16" s="52">
        <v>400</v>
      </c>
      <c r="I16" s="15">
        <v>3</v>
      </c>
      <c r="J16" s="51">
        <v>20</v>
      </c>
      <c r="K16" s="15">
        <v>4</v>
      </c>
      <c r="L16" s="52">
        <v>58</v>
      </c>
      <c r="M16" s="15">
        <v>9</v>
      </c>
      <c r="N16" s="51">
        <v>44</v>
      </c>
      <c r="O16" s="15">
        <v>8</v>
      </c>
      <c r="P16" s="53">
        <v>7</v>
      </c>
      <c r="Q16" s="15">
        <v>10</v>
      </c>
      <c r="R16" s="32" t="s">
        <v>81</v>
      </c>
      <c r="S16" s="15">
        <v>0</v>
      </c>
      <c r="T16" s="52">
        <v>290</v>
      </c>
      <c r="U16" s="15">
        <v>8.5</v>
      </c>
      <c r="V16" s="51">
        <v>9</v>
      </c>
      <c r="W16" s="15">
        <v>8</v>
      </c>
      <c r="X16" s="52">
        <v>6</v>
      </c>
      <c r="Y16" s="15">
        <v>10</v>
      </c>
      <c r="Z16" s="52">
        <v>6</v>
      </c>
      <c r="AA16" s="15">
        <v>7</v>
      </c>
      <c r="AB16" s="52" t="s">
        <v>113</v>
      </c>
      <c r="AC16" s="15">
        <v>10</v>
      </c>
      <c r="AD16" s="52"/>
      <c r="AE16" s="15"/>
      <c r="AF16" s="52"/>
      <c r="AG16" s="15"/>
      <c r="AI16" s="8"/>
      <c r="AJ16" s="8"/>
      <c r="AK16" s="8"/>
      <c r="AL16" s="8"/>
      <c r="AM16" s="8"/>
      <c r="AN16" s="8"/>
      <c r="AO16" s="11" t="s">
        <v>100</v>
      </c>
      <c r="AP16" s="122" t="e">
        <f t="shared" ca="1" si="0"/>
        <v>#N/A</v>
      </c>
      <c r="AQ16" s="115" t="e">
        <v>#N/A</v>
      </c>
      <c r="AR16" s="115" t="e">
        <v>#N/A</v>
      </c>
      <c r="AS16" s="115" t="e">
        <v>#N/A</v>
      </c>
      <c r="AT16" s="115" t="e">
        <v>#N/A</v>
      </c>
      <c r="AU16" s="115" t="e">
        <v>#N/A</v>
      </c>
      <c r="AV16" s="115" t="e">
        <v>#N/A</v>
      </c>
      <c r="AW16" s="28" t="e">
        <v>#N/A</v>
      </c>
      <c r="AX16" s="4" t="e">
        <v>#N/A</v>
      </c>
      <c r="AY16" s="4" t="e">
        <v>#N/A</v>
      </c>
      <c r="AZ16" s="123" t="e">
        <v>#N/A</v>
      </c>
    </row>
    <row r="17" spans="1:52" ht="12.75" customHeight="1" x14ac:dyDescent="0.2">
      <c r="A17" s="198" t="s">
        <v>104</v>
      </c>
      <c r="B17" s="32">
        <v>40</v>
      </c>
      <c r="C17" s="35">
        <v>9</v>
      </c>
      <c r="D17" s="52">
        <v>4000</v>
      </c>
      <c r="E17" s="15">
        <v>3</v>
      </c>
      <c r="F17" s="32" t="s">
        <v>97</v>
      </c>
      <c r="G17" s="15">
        <v>9</v>
      </c>
      <c r="H17" s="52">
        <v>600</v>
      </c>
      <c r="I17" s="15">
        <v>8.5</v>
      </c>
      <c r="J17" s="51">
        <v>30</v>
      </c>
      <c r="K17" s="15">
        <v>7.5</v>
      </c>
      <c r="L17" s="52">
        <v>59</v>
      </c>
      <c r="M17" s="15">
        <v>10</v>
      </c>
      <c r="N17" s="51">
        <v>45.8</v>
      </c>
      <c r="O17" s="15">
        <v>10</v>
      </c>
      <c r="P17" s="53">
        <v>8</v>
      </c>
      <c r="Q17" s="15">
        <v>10</v>
      </c>
      <c r="R17" s="32" t="s">
        <v>83</v>
      </c>
      <c r="S17" s="15">
        <v>6</v>
      </c>
      <c r="T17" s="52">
        <v>315</v>
      </c>
      <c r="U17" s="15">
        <v>10</v>
      </c>
      <c r="V17" s="51">
        <v>9.5</v>
      </c>
      <c r="W17" s="15">
        <v>10</v>
      </c>
      <c r="X17" s="52"/>
      <c r="Y17" s="15"/>
      <c r="Z17" s="52">
        <v>8</v>
      </c>
      <c r="AA17" s="15">
        <v>10</v>
      </c>
      <c r="AB17" s="52"/>
      <c r="AC17" s="15"/>
      <c r="AD17" s="52"/>
      <c r="AE17" s="15"/>
      <c r="AF17" s="52"/>
      <c r="AG17" s="15"/>
      <c r="AI17" s="8"/>
      <c r="AJ17" s="8"/>
      <c r="AK17" s="8"/>
      <c r="AL17" s="8"/>
      <c r="AM17" s="8"/>
      <c r="AN17" s="8"/>
      <c r="AO17" s="11" t="s">
        <v>101</v>
      </c>
      <c r="AP17" s="122" t="e">
        <f t="shared" ca="1" si="0"/>
        <v>#N/A</v>
      </c>
      <c r="AQ17" s="96" t="e">
        <v>#N/A</v>
      </c>
      <c r="AR17" s="96" t="e">
        <v>#N/A</v>
      </c>
      <c r="AS17" s="96" t="e">
        <v>#N/A</v>
      </c>
      <c r="AT17" s="96" t="e">
        <v>#N/A</v>
      </c>
      <c r="AU17" s="96" t="e">
        <v>#N/A</v>
      </c>
      <c r="AV17" s="96" t="e">
        <v>#N/A</v>
      </c>
      <c r="AW17" s="92" t="e">
        <v>#N/A</v>
      </c>
      <c r="AX17" s="4" t="e">
        <v>#N/A</v>
      </c>
      <c r="AY17" s="4" t="e">
        <v>#N/A</v>
      </c>
      <c r="AZ17" s="123" t="e">
        <v>#N/A</v>
      </c>
    </row>
    <row r="18" spans="1:52" x14ac:dyDescent="0.2">
      <c r="A18" s="198"/>
      <c r="B18" s="32">
        <v>50</v>
      </c>
      <c r="C18" s="35">
        <v>10</v>
      </c>
      <c r="D18" s="52">
        <v>5000</v>
      </c>
      <c r="E18" s="15">
        <v>0</v>
      </c>
      <c r="F18" s="32"/>
      <c r="G18" s="15"/>
      <c r="H18" s="52">
        <v>700</v>
      </c>
      <c r="I18" s="15">
        <v>10</v>
      </c>
      <c r="J18" s="51">
        <v>40</v>
      </c>
      <c r="K18" s="15">
        <v>10</v>
      </c>
      <c r="L18" s="52">
        <v>60</v>
      </c>
      <c r="M18" s="15">
        <v>10</v>
      </c>
      <c r="N18" s="51">
        <v>46</v>
      </c>
      <c r="O18" s="15">
        <v>10</v>
      </c>
      <c r="P18" s="53"/>
      <c r="Q18" s="15"/>
      <c r="R18" s="32"/>
      <c r="S18" s="15"/>
      <c r="T18" s="52">
        <v>320</v>
      </c>
      <c r="U18" s="15">
        <v>10</v>
      </c>
      <c r="V18" s="51">
        <v>10</v>
      </c>
      <c r="W18" s="15">
        <v>10</v>
      </c>
      <c r="X18" s="52"/>
      <c r="Y18" s="15"/>
      <c r="Z18" s="52">
        <v>10</v>
      </c>
      <c r="AA18" s="15">
        <v>10</v>
      </c>
      <c r="AB18" s="52"/>
      <c r="AC18" s="15"/>
      <c r="AD18" s="52"/>
      <c r="AE18" s="15"/>
      <c r="AF18" s="52"/>
      <c r="AG18" s="15"/>
      <c r="AI18" s="8"/>
      <c r="AJ18" s="8"/>
      <c r="AK18" s="8"/>
      <c r="AL18" s="8"/>
      <c r="AM18" s="8"/>
      <c r="AN18" s="8"/>
      <c r="AO18" s="11" t="s">
        <v>99</v>
      </c>
      <c r="AP18" s="122" t="e">
        <f t="shared" ca="1" si="0"/>
        <v>#N/A</v>
      </c>
      <c r="AQ18" s="96" t="e">
        <v>#N/A</v>
      </c>
      <c r="AR18" s="96" t="e">
        <v>#N/A</v>
      </c>
      <c r="AS18" s="96" t="e">
        <v>#N/A</v>
      </c>
      <c r="AT18" s="96" t="e">
        <v>#N/A</v>
      </c>
      <c r="AU18" s="96" t="e">
        <v>#N/A</v>
      </c>
      <c r="AV18" s="96" t="e">
        <v>#N/A</v>
      </c>
      <c r="AW18" s="99" t="e">
        <v>#N/A</v>
      </c>
      <c r="AX18" s="4" t="e">
        <v>#N/A</v>
      </c>
      <c r="AY18" s="4" t="e">
        <v>#N/A</v>
      </c>
      <c r="AZ18" s="123" t="e">
        <v>#N/A</v>
      </c>
    </row>
    <row r="19" spans="1:52" x14ac:dyDescent="0.2">
      <c r="B19" s="32">
        <v>95</v>
      </c>
      <c r="C19" s="35">
        <v>10</v>
      </c>
      <c r="D19" s="52">
        <v>7000</v>
      </c>
      <c r="E19" s="15">
        <v>0</v>
      </c>
      <c r="F19" s="32"/>
      <c r="G19" s="15"/>
      <c r="H19" s="52">
        <v>800</v>
      </c>
      <c r="I19" s="15">
        <v>10</v>
      </c>
      <c r="J19" s="51">
        <v>44</v>
      </c>
      <c r="K19" s="15">
        <v>10</v>
      </c>
      <c r="L19" s="52"/>
      <c r="M19" s="15"/>
      <c r="N19" s="51"/>
      <c r="O19" s="15"/>
      <c r="P19" s="53"/>
      <c r="Q19" s="15"/>
      <c r="R19" s="32"/>
      <c r="S19" s="15"/>
      <c r="T19" s="52"/>
      <c r="U19" s="15"/>
      <c r="V19" s="51"/>
      <c r="W19" s="15"/>
      <c r="X19" s="52"/>
      <c r="Y19" s="15"/>
      <c r="Z19" s="52">
        <v>11</v>
      </c>
      <c r="AA19" s="15">
        <v>10</v>
      </c>
      <c r="AB19" s="52"/>
      <c r="AC19" s="15"/>
      <c r="AD19" s="52"/>
      <c r="AE19" s="15"/>
      <c r="AF19" s="52"/>
      <c r="AG19" s="15"/>
      <c r="AI19" s="8"/>
      <c r="AJ19" s="8"/>
      <c r="AK19" s="8"/>
      <c r="AL19" s="8"/>
      <c r="AM19" s="8"/>
      <c r="AN19" s="8"/>
      <c r="AO19" s="11" t="s">
        <v>110</v>
      </c>
      <c r="AP19" s="122" t="e">
        <f t="shared" ca="1" si="0"/>
        <v>#N/A</v>
      </c>
      <c r="AQ19" s="96" t="e">
        <v>#N/A</v>
      </c>
      <c r="AR19" s="96" t="e">
        <v>#N/A</v>
      </c>
      <c r="AS19" s="96" t="e">
        <v>#N/A</v>
      </c>
      <c r="AT19" s="96" t="e">
        <v>#N/A</v>
      </c>
      <c r="AU19" s="96" t="e">
        <v>#N/A</v>
      </c>
      <c r="AV19" s="96" t="e">
        <v>#N/A</v>
      </c>
      <c r="AW19" s="99" t="e">
        <v>#N/A</v>
      </c>
      <c r="AX19" s="4" t="e">
        <v>#N/A</v>
      </c>
      <c r="AY19" s="4" t="e">
        <v>#N/A</v>
      </c>
      <c r="AZ19" s="123" t="e">
        <v>#N/A</v>
      </c>
    </row>
    <row r="20" spans="1:52" ht="12.75" customHeight="1" x14ac:dyDescent="0.2">
      <c r="B20" s="32">
        <v>100</v>
      </c>
      <c r="C20" s="35">
        <v>10</v>
      </c>
      <c r="D20" s="52"/>
      <c r="E20" s="15"/>
      <c r="F20" s="32"/>
      <c r="G20" s="15"/>
      <c r="H20" s="52"/>
      <c r="I20" s="15"/>
      <c r="J20" s="51"/>
      <c r="K20" s="15"/>
      <c r="L20" s="52"/>
      <c r="M20" s="15"/>
      <c r="N20" s="51"/>
      <c r="O20" s="15"/>
      <c r="P20" s="53"/>
      <c r="Q20" s="15"/>
      <c r="R20" s="32"/>
      <c r="S20" s="15"/>
      <c r="T20" s="52"/>
      <c r="U20" s="15"/>
      <c r="V20" s="51"/>
      <c r="W20" s="15"/>
      <c r="X20" s="52"/>
      <c r="Y20" s="15"/>
      <c r="Z20" s="52"/>
      <c r="AA20" s="15"/>
      <c r="AB20" s="52"/>
      <c r="AC20" s="15"/>
      <c r="AD20" s="52"/>
      <c r="AE20" s="15"/>
      <c r="AF20" s="52"/>
      <c r="AG20" s="15"/>
      <c r="AI20" s="8"/>
      <c r="AJ20" s="8"/>
      <c r="AK20" s="8"/>
      <c r="AL20" s="8"/>
      <c r="AM20" s="8"/>
      <c r="AN20" s="8"/>
      <c r="AO20" s="94" t="s">
        <v>121</v>
      </c>
      <c r="AP20" s="128">
        <f ca="1">AH77</f>
        <v>5.6560365069363172</v>
      </c>
      <c r="AQ20" s="129">
        <v>5.6066896814940295</v>
      </c>
      <c r="AR20" s="129">
        <v>5.5526431583905707</v>
      </c>
      <c r="AS20" s="129">
        <v>5.4931919829767661</v>
      </c>
      <c r="AT20" s="129">
        <v>5.4274827890983497</v>
      </c>
      <c r="AU20" s="129">
        <v>5.3544725736778878</v>
      </c>
      <c r="AV20" s="129">
        <v>5.2728729211491352</v>
      </c>
      <c r="AW20" s="130">
        <v>5.1810733120542896</v>
      </c>
      <c r="AX20" s="131">
        <v>5.077033755080131</v>
      </c>
      <c r="AY20" s="131">
        <v>4.958131404252522</v>
      </c>
      <c r="AZ20" s="132">
        <v>4.8209363840668189</v>
      </c>
    </row>
    <row r="21" spans="1:52" x14ac:dyDescent="0.2">
      <c r="A21" s="4" t="s">
        <v>3</v>
      </c>
      <c r="B21" s="12">
        <f>B20+0.1</f>
        <v>100.1</v>
      </c>
      <c r="C21" s="12">
        <f>C20</f>
        <v>10</v>
      </c>
      <c r="D21" s="12">
        <f>D20+0.1</f>
        <v>0.1</v>
      </c>
      <c r="E21" s="12">
        <f>E20</f>
        <v>0</v>
      </c>
      <c r="F21" s="12">
        <f>F20+0.1</f>
        <v>0.1</v>
      </c>
      <c r="G21" s="12">
        <f>G20</f>
        <v>0</v>
      </c>
      <c r="H21" s="12">
        <f>H20+0.1</f>
        <v>0.1</v>
      </c>
      <c r="I21" s="12">
        <f>I20</f>
        <v>0</v>
      </c>
      <c r="J21" s="12">
        <f>J20+0.1</f>
        <v>0.1</v>
      </c>
      <c r="K21" s="12">
        <f>K20</f>
        <v>0</v>
      </c>
      <c r="L21" s="12">
        <f>L20+0.1</f>
        <v>0.1</v>
      </c>
      <c r="M21" s="12">
        <f>M20</f>
        <v>0</v>
      </c>
      <c r="N21" s="12"/>
      <c r="O21" s="12"/>
      <c r="P21" s="12">
        <f>P20+0.1</f>
        <v>0.1</v>
      </c>
      <c r="Q21" s="12">
        <f>Q20</f>
        <v>0</v>
      </c>
      <c r="R21" s="12">
        <f>R20+0.1</f>
        <v>0.1</v>
      </c>
      <c r="S21" s="12">
        <f>S20</f>
        <v>0</v>
      </c>
      <c r="T21" s="12"/>
      <c r="U21" s="12"/>
      <c r="V21" s="12">
        <f>V20+0.1</f>
        <v>0.1</v>
      </c>
      <c r="W21" s="12">
        <f>W20</f>
        <v>0</v>
      </c>
      <c r="X21" s="12">
        <f>X20+0.1</f>
        <v>0.1</v>
      </c>
      <c r="Y21" s="12">
        <f>Y20</f>
        <v>0</v>
      </c>
      <c r="Z21" s="12">
        <f>Z20+0.1</f>
        <v>0.1</v>
      </c>
      <c r="AA21" s="12">
        <f>AA20</f>
        <v>0</v>
      </c>
      <c r="AB21" s="12">
        <f>AB20+0.1</f>
        <v>0.1</v>
      </c>
      <c r="AC21" s="12">
        <f>AC20</f>
        <v>0</v>
      </c>
      <c r="AD21" s="12">
        <f>AD20+0.1</f>
        <v>0.1</v>
      </c>
      <c r="AE21" s="12">
        <f>AE20</f>
        <v>0</v>
      </c>
      <c r="AF21" s="12">
        <f>AF20+0.1</f>
        <v>0.1</v>
      </c>
      <c r="AG21" s="12">
        <f>AG20</f>
        <v>0</v>
      </c>
      <c r="AI21" s="8"/>
      <c r="AJ21" s="8"/>
      <c r="AK21" s="8"/>
      <c r="AL21" s="8"/>
      <c r="AM21" s="8"/>
      <c r="AN21" s="8"/>
      <c r="AO21" s="94" t="s">
        <v>118</v>
      </c>
      <c r="AP21" s="122">
        <f ca="1">AH76</f>
        <v>6.1339685502745516</v>
      </c>
      <c r="AQ21" s="96">
        <v>6.1721176889233957</v>
      </c>
      <c r="AR21" s="96">
        <v>6.2139000788721281</v>
      </c>
      <c r="AS21" s="96">
        <v>6.2598607078157347</v>
      </c>
      <c r="AT21" s="96">
        <v>6.3106592977007727</v>
      </c>
      <c r="AU21" s="96">
        <v>6.3671021753508175</v>
      </c>
      <c r="AV21" s="96">
        <v>6.4301853915479237</v>
      </c>
      <c r="AW21" s="99">
        <v>6.5011540097696692</v>
      </c>
      <c r="AX21" s="4">
        <v>6.5815851104209804</v>
      </c>
      <c r="AY21" s="4">
        <v>6.6735063683081925</v>
      </c>
      <c r="AZ21" s="123">
        <v>6.7795693581780547</v>
      </c>
    </row>
    <row r="22" spans="1:52" x14ac:dyDescent="0.2">
      <c r="AI22" s="8"/>
      <c r="AJ22" s="8"/>
      <c r="AK22" s="8"/>
      <c r="AL22" s="8"/>
      <c r="AM22" s="8"/>
      <c r="AN22" s="8"/>
      <c r="AP22" s="84"/>
      <c r="AQ22" s="98"/>
      <c r="AR22" s="98"/>
      <c r="AS22" s="98"/>
      <c r="AT22" s="98"/>
      <c r="AU22" s="98"/>
      <c r="AV22" s="98"/>
      <c r="AW22" s="99"/>
      <c r="AZ22" s="120"/>
    </row>
    <row r="23" spans="1:52" ht="12.75" customHeight="1" x14ac:dyDescent="0.2">
      <c r="A23" s="2">
        <v>0</v>
      </c>
      <c r="AI23" s="8"/>
      <c r="AJ23" s="8"/>
      <c r="AK23" s="8"/>
      <c r="AL23" s="8"/>
      <c r="AM23" s="8"/>
      <c r="AN23" s="8"/>
      <c r="AO23" s="94"/>
      <c r="AP23" s="96"/>
      <c r="AQ23" s="98"/>
      <c r="AR23" s="98"/>
      <c r="AS23" s="98"/>
      <c r="AT23" s="98"/>
      <c r="AU23" s="98"/>
      <c r="AV23" s="98"/>
      <c r="AW23" s="8"/>
      <c r="AZ23" s="120"/>
    </row>
    <row r="24" spans="1:52" x14ac:dyDescent="0.2">
      <c r="A24" s="2">
        <v>1</v>
      </c>
      <c r="AI24" s="8"/>
      <c r="AJ24" s="8"/>
      <c r="AK24" s="8"/>
      <c r="AL24" s="8"/>
      <c r="AM24" s="8"/>
      <c r="AN24" s="8"/>
      <c r="AO24" s="94"/>
      <c r="AP24" s="96"/>
      <c r="AQ24" s="98"/>
      <c r="AR24" s="98"/>
      <c r="AS24" s="98"/>
      <c r="AT24" s="98"/>
      <c r="AU24" s="98"/>
      <c r="AV24" s="98"/>
      <c r="AW24" s="8"/>
      <c r="AZ24" s="120"/>
    </row>
    <row r="25" spans="1:52" x14ac:dyDescent="0.2">
      <c r="A25" s="2">
        <v>2</v>
      </c>
      <c r="AI25" s="8"/>
      <c r="AJ25" s="8"/>
      <c r="AK25" s="8"/>
      <c r="AL25" s="8"/>
      <c r="AM25" s="8"/>
      <c r="AN25" s="8"/>
      <c r="AO25" s="94"/>
      <c r="AP25" s="96"/>
      <c r="AQ25" s="98"/>
      <c r="AR25" s="98"/>
      <c r="AS25" s="98"/>
      <c r="AT25" s="98"/>
      <c r="AU25" s="98"/>
      <c r="AV25" s="98"/>
      <c r="AW25" s="8"/>
      <c r="AZ25" s="120"/>
    </row>
    <row r="26" spans="1:52" ht="12.75" customHeight="1" x14ac:dyDescent="0.2">
      <c r="A26" s="2">
        <v>3</v>
      </c>
      <c r="AI26" s="8"/>
      <c r="AJ26" s="8"/>
      <c r="AK26" s="8"/>
      <c r="AL26" s="8"/>
      <c r="AM26" s="8"/>
      <c r="AN26" s="8"/>
      <c r="AO26" s="94"/>
      <c r="AP26" s="96"/>
      <c r="AQ26" s="98"/>
      <c r="AR26" s="98"/>
      <c r="AS26" s="98"/>
      <c r="AT26" s="98"/>
      <c r="AU26" s="98"/>
      <c r="AV26" s="98"/>
      <c r="AW26" s="8"/>
    </row>
    <row r="27" spans="1:52" x14ac:dyDescent="0.2">
      <c r="A27" s="2">
        <v>4</v>
      </c>
      <c r="AI27" s="8"/>
      <c r="AJ27" s="8"/>
      <c r="AK27" s="8"/>
      <c r="AL27" s="8"/>
      <c r="AM27" s="8"/>
      <c r="AN27" s="8"/>
      <c r="AO27" s="94"/>
      <c r="AP27" s="96"/>
      <c r="AQ27" s="100"/>
      <c r="AR27" s="100"/>
      <c r="AS27" s="100"/>
      <c r="AT27" s="100"/>
      <c r="AU27" s="100"/>
      <c r="AV27" s="100"/>
      <c r="AW27" s="8"/>
    </row>
    <row r="28" spans="1:52" x14ac:dyDescent="0.2"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</row>
    <row r="29" spans="1:52" x14ac:dyDescent="0.2"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</row>
    <row r="30" spans="1:52" x14ac:dyDescent="0.2"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</row>
    <row r="31" spans="1:52" ht="15.95" customHeight="1" x14ac:dyDescent="0.2"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</row>
    <row r="32" spans="1:52" ht="15.95" customHeight="1" thickBot="1" x14ac:dyDescent="0.25"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</row>
    <row r="33" spans="1:49" ht="18.75" customHeight="1" x14ac:dyDescent="0.25">
      <c r="A33" s="9" t="s">
        <v>2</v>
      </c>
      <c r="B33" s="46" t="s">
        <v>17</v>
      </c>
      <c r="D33" s="46" t="s">
        <v>28</v>
      </c>
      <c r="F33" s="46" t="s">
        <v>85</v>
      </c>
      <c r="H33" s="46" t="s">
        <v>30</v>
      </c>
      <c r="J33" s="46" t="s">
        <v>31</v>
      </c>
      <c r="L33" s="46" t="s">
        <v>32</v>
      </c>
      <c r="N33" s="46" t="s">
        <v>33</v>
      </c>
      <c r="P33" s="46" t="s">
        <v>34</v>
      </c>
      <c r="R33" s="46" t="s">
        <v>35</v>
      </c>
      <c r="T33" s="46" t="s">
        <v>36</v>
      </c>
      <c r="V33" s="46" t="s">
        <v>47</v>
      </c>
      <c r="X33" s="46" t="s">
        <v>37</v>
      </c>
      <c r="Z33" s="46" t="s">
        <v>38</v>
      </c>
      <c r="AB33" s="46" t="s">
        <v>14</v>
      </c>
      <c r="AD33" s="46" t="s">
        <v>39</v>
      </c>
      <c r="AF33" s="47" t="s">
        <v>40</v>
      </c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</row>
    <row r="34" spans="1:49" ht="15" customHeight="1" x14ac:dyDescent="0.25">
      <c r="A34" s="45" t="str">
        <f>'Hierarchy &amp; Data'!A30</f>
        <v>2014 Toyota Camry</v>
      </c>
      <c r="B34" s="44">
        <f>'Hierarchy &amp; Data'!E30</f>
        <v>2014</v>
      </c>
      <c r="D34" s="86">
        <f>'Hierarchy &amp; Data'!F30</f>
        <v>18000</v>
      </c>
      <c r="F34" s="87" t="str">
        <f>'Hierarchy &amp; Data'!G30</f>
        <v>No</v>
      </c>
      <c r="H34" s="88">
        <f>'Hierarchy &amp; Data'!H30</f>
        <v>4</v>
      </c>
      <c r="J34" s="48">
        <v>24.5</v>
      </c>
      <c r="L34" s="44">
        <f>'Hierarchy &amp; Data'!J30</f>
        <v>4</v>
      </c>
      <c r="M34" s="85"/>
      <c r="N34" s="48">
        <f>'Hierarchy &amp; Data'!K30</f>
        <v>10</v>
      </c>
      <c r="O34" s="85"/>
      <c r="P34" s="44" t="str">
        <f>'Hierarchy &amp; Data'!L30</f>
        <v>FWD</v>
      </c>
      <c r="Q34" s="85"/>
      <c r="R34" s="87">
        <f>'Hierarchy &amp; Data'!M30</f>
        <v>200</v>
      </c>
      <c r="T34" s="44">
        <f>'Hierarchy &amp; Data'!N30</f>
        <v>13.1</v>
      </c>
      <c r="U34" s="85"/>
      <c r="V34" s="44">
        <f>'Hierarchy &amp; Data'!O30</f>
        <v>38.9</v>
      </c>
      <c r="X34" s="44">
        <f>'Hierarchy &amp; Data'!P30</f>
        <v>5</v>
      </c>
      <c r="Z34" s="44">
        <f>'Hierarchy &amp; Data'!Q30</f>
        <v>39</v>
      </c>
      <c r="AB34" s="87">
        <f>'Hierarchy &amp; Data'!R30</f>
        <v>43</v>
      </c>
      <c r="AD34" s="87" t="e">
        <f>'Hierarchy &amp; Data'!#REF!</f>
        <v>#REF!</v>
      </c>
      <c r="AF34" s="103" t="s">
        <v>50</v>
      </c>
      <c r="AJ34" s="11" t="s">
        <v>42</v>
      </c>
      <c r="AK34" s="101">
        <v>59825</v>
      </c>
      <c r="AL34" s="108">
        <v>6.4590253466340419</v>
      </c>
    </row>
    <row r="35" spans="1:49" ht="15" customHeight="1" x14ac:dyDescent="0.25">
      <c r="A35" s="45">
        <f>'Hierarchy &amp; Data'!A31</f>
        <v>0</v>
      </c>
      <c r="B35" s="44">
        <f ca="1">'Hierarchy &amp; Data'!E31</f>
        <v>0</v>
      </c>
      <c r="D35" s="86">
        <f ca="1">'Hierarchy &amp; Data'!F31</f>
        <v>0</v>
      </c>
      <c r="F35" s="87">
        <f>'Hierarchy &amp; Data'!G31</f>
        <v>0</v>
      </c>
      <c r="H35" s="88">
        <f ca="1">'Hierarchy &amp; Data'!H31</f>
        <v>0</v>
      </c>
      <c r="J35" s="48">
        <f ca="1">'Hierarchy &amp; Data'!I31</f>
        <v>0</v>
      </c>
      <c r="L35" s="44">
        <f ca="1">'Hierarchy &amp; Data'!J31</f>
        <v>0</v>
      </c>
      <c r="M35" s="90"/>
      <c r="N35" s="48">
        <f ca="1">'Hierarchy &amp; Data'!K31</f>
        <v>0</v>
      </c>
      <c r="O35" s="90"/>
      <c r="P35" s="44">
        <f>'Hierarchy &amp; Data'!L31</f>
        <v>0</v>
      </c>
      <c r="Q35" s="90"/>
      <c r="R35" s="87">
        <f ca="1">'Hierarchy &amp; Data'!M31</f>
        <v>0</v>
      </c>
      <c r="T35" s="44">
        <f ca="1">'Hierarchy &amp; Data'!N31</f>
        <v>0</v>
      </c>
      <c r="U35" s="90"/>
      <c r="V35" s="44">
        <f ca="1">'Hierarchy &amp; Data'!O31</f>
        <v>0</v>
      </c>
      <c r="X35" s="44">
        <f ca="1">'Hierarchy &amp; Data'!P31</f>
        <v>0</v>
      </c>
      <c r="Z35" s="44">
        <f ca="1">'Hierarchy &amp; Data'!Q31</f>
        <v>0</v>
      </c>
      <c r="AB35" s="87">
        <f ca="1">'Hierarchy &amp; Data'!R31</f>
        <v>0</v>
      </c>
      <c r="AD35" s="87" t="e">
        <f>'Hierarchy &amp; Data'!#REF!</f>
        <v>#REF!</v>
      </c>
      <c r="AF35" s="87">
        <f ca="1">'Hierarchy &amp; Data'!S31</f>
        <v>0</v>
      </c>
      <c r="AJ35" s="11" t="s">
        <v>98</v>
      </c>
      <c r="AK35" s="107">
        <v>35905</v>
      </c>
      <c r="AL35" s="93">
        <v>6.6521517386598905</v>
      </c>
    </row>
    <row r="36" spans="1:49" ht="15" customHeight="1" x14ac:dyDescent="0.25">
      <c r="A36" s="45" t="str">
        <f>'Hierarchy &amp; Data'!A32</f>
        <v>2016 Toyota Rav4 Hybrid XLE</v>
      </c>
      <c r="B36" s="44">
        <f>'Hierarchy &amp; Data'!E32</f>
        <v>2016</v>
      </c>
      <c r="D36" s="86">
        <f>'Hierarchy &amp; Data'!F32</f>
        <v>27964</v>
      </c>
      <c r="F36" s="87" t="str">
        <f>'Hierarchy &amp; Data'!G32</f>
        <v>No</v>
      </c>
      <c r="H36" s="88">
        <f>'Hierarchy &amp; Data'!H32</f>
        <v>4</v>
      </c>
      <c r="J36" s="48">
        <f>'Hierarchy &amp; Data'!I32</f>
        <v>8</v>
      </c>
      <c r="L36" s="44">
        <f>'Hierarchy &amp; Data'!J32</f>
        <v>4</v>
      </c>
      <c r="M36" s="90"/>
      <c r="N36" s="48">
        <f>'Hierarchy &amp; Data'!K32</f>
        <v>8</v>
      </c>
      <c r="O36" s="90"/>
      <c r="P36" s="44" t="str">
        <f>'Hierarchy &amp; Data'!L32</f>
        <v>AWD</v>
      </c>
      <c r="Q36" s="90"/>
      <c r="R36" s="87">
        <f>'Hierarchy &amp; Data'!M32</f>
        <v>194</v>
      </c>
      <c r="T36" s="44">
        <f>'Hierarchy &amp; Data'!N32</f>
        <v>35.6</v>
      </c>
      <c r="U36" s="90"/>
      <c r="V36" s="44">
        <f>'Hierarchy &amp; Data'!O32</f>
        <v>37.200000000000003</v>
      </c>
      <c r="X36" s="44">
        <f>'Hierarchy &amp; Data'!P32</f>
        <v>5</v>
      </c>
      <c r="Z36" s="44">
        <f>'Hierarchy &amp; Data'!Q32</f>
        <v>31</v>
      </c>
      <c r="AB36" s="87">
        <f>'Hierarchy &amp; Data'!R32</f>
        <v>34</v>
      </c>
      <c r="AD36" s="87" t="e">
        <f>'Hierarchy &amp; Data'!#REF!</f>
        <v>#REF!</v>
      </c>
      <c r="AF36" s="87">
        <f>'Hierarchy &amp; Data'!S32</f>
        <v>0</v>
      </c>
      <c r="AJ36" s="11" t="s">
        <v>43</v>
      </c>
      <c r="AK36" s="101">
        <v>63025</v>
      </c>
      <c r="AL36" s="93">
        <v>6.6242638339920958</v>
      </c>
      <c r="AN36" s="7"/>
    </row>
    <row r="37" spans="1:49" ht="15" customHeight="1" x14ac:dyDescent="0.25">
      <c r="A37" s="45">
        <f>'Hierarchy &amp; Data'!A33</f>
        <v>0</v>
      </c>
      <c r="B37" s="44">
        <f ca="1">'Hierarchy &amp; Data'!E33</f>
        <v>0</v>
      </c>
      <c r="D37" s="86">
        <f ca="1">'Hierarchy &amp; Data'!F33</f>
        <v>0</v>
      </c>
      <c r="F37" s="87">
        <f>'Hierarchy &amp; Data'!G33</f>
        <v>0</v>
      </c>
      <c r="H37" s="88">
        <f ca="1">'Hierarchy &amp; Data'!H33</f>
        <v>0</v>
      </c>
      <c r="J37" s="48">
        <f ca="1">'Hierarchy &amp; Data'!I33</f>
        <v>0</v>
      </c>
      <c r="L37" s="44">
        <f ca="1">'Hierarchy &amp; Data'!J33</f>
        <v>0</v>
      </c>
      <c r="M37" s="90"/>
      <c r="N37" s="48">
        <f ca="1">'Hierarchy &amp; Data'!K33</f>
        <v>0</v>
      </c>
      <c r="O37" s="90"/>
      <c r="P37" s="44">
        <f>'Hierarchy &amp; Data'!L33</f>
        <v>0.04</v>
      </c>
      <c r="Q37" s="90"/>
      <c r="R37" s="87">
        <f ca="1">'Hierarchy &amp; Data'!M33</f>
        <v>0</v>
      </c>
      <c r="T37" s="44">
        <f ca="1">'Hierarchy &amp; Data'!N33</f>
        <v>0</v>
      </c>
      <c r="U37" s="90"/>
      <c r="V37" s="44">
        <f ca="1">'Hierarchy &amp; Data'!O33</f>
        <v>0</v>
      </c>
      <c r="X37" s="44">
        <f ca="1">'Hierarchy &amp; Data'!P33</f>
        <v>0</v>
      </c>
      <c r="Z37" s="44">
        <f ca="1">'Hierarchy &amp; Data'!Q33</f>
        <v>0</v>
      </c>
      <c r="AB37" s="87">
        <f ca="1">'Hierarchy &amp; Data'!R33</f>
        <v>0</v>
      </c>
      <c r="AD37" s="87" t="e">
        <f>'Hierarchy &amp; Data'!#REF!</f>
        <v>#REF!</v>
      </c>
      <c r="AF37" s="87">
        <f ca="1">'Hierarchy &amp; Data'!S33</f>
        <v>0</v>
      </c>
      <c r="AJ37" s="11" t="s">
        <v>46</v>
      </c>
      <c r="AK37" s="101">
        <v>43765</v>
      </c>
      <c r="AL37" s="108">
        <v>6.1350971673254282</v>
      </c>
    </row>
    <row r="38" spans="1:49" ht="15" x14ac:dyDescent="0.25">
      <c r="A38" s="45" t="str">
        <f>'Hierarchy &amp; Data'!A34</f>
        <v>C</v>
      </c>
      <c r="B38" s="44">
        <f>'Hierarchy &amp; Data'!E34</f>
        <v>0</v>
      </c>
      <c r="D38" s="86">
        <f>'Hierarchy &amp; Data'!F34</f>
        <v>0</v>
      </c>
      <c r="F38" s="87">
        <f>'Hierarchy &amp; Data'!G34</f>
        <v>0</v>
      </c>
      <c r="H38" s="88">
        <f>'Hierarchy &amp; Data'!H34</f>
        <v>0</v>
      </c>
      <c r="J38" s="48">
        <f>'Hierarchy &amp; Data'!I34</f>
        <v>0</v>
      </c>
      <c r="L38" s="44">
        <f>'Hierarchy &amp; Data'!J34</f>
        <v>0</v>
      </c>
      <c r="M38" s="90"/>
      <c r="N38" s="48">
        <f>'Hierarchy &amp; Data'!K34</f>
        <v>0</v>
      </c>
      <c r="O38" s="90"/>
      <c r="P38" s="44">
        <f>'Hierarchy &amp; Data'!L34</f>
        <v>0</v>
      </c>
      <c r="Q38" s="90"/>
      <c r="R38" s="87">
        <f>'Hierarchy &amp; Data'!M34</f>
        <v>0</v>
      </c>
      <c r="T38" s="44">
        <f>'Hierarchy &amp; Data'!N34</f>
        <v>0</v>
      </c>
      <c r="U38" s="90"/>
      <c r="V38" s="44">
        <f>'Hierarchy &amp; Data'!O34</f>
        <v>0</v>
      </c>
      <c r="X38" s="44">
        <f>'Hierarchy &amp; Data'!P34</f>
        <v>0</v>
      </c>
      <c r="Z38" s="44">
        <f>'Hierarchy &amp; Data'!Q34</f>
        <v>0</v>
      </c>
      <c r="AB38" s="87">
        <f>'Hierarchy &amp; Data'!R34</f>
        <v>0</v>
      </c>
      <c r="AD38" s="87" t="e">
        <f>'Hierarchy &amp; Data'!#REF!</f>
        <v>#REF!</v>
      </c>
      <c r="AF38" s="87">
        <f>'Hierarchy &amp; Data'!S34</f>
        <v>0</v>
      </c>
      <c r="AH38" s="8"/>
      <c r="AI38" s="8"/>
      <c r="AJ38" s="11" t="s">
        <v>44</v>
      </c>
      <c r="AK38" s="101">
        <v>36860</v>
      </c>
      <c r="AL38" s="108">
        <v>6.0289189252776216</v>
      </c>
      <c r="AM38" s="8"/>
      <c r="AN38" s="8"/>
      <c r="AO38" s="8"/>
    </row>
    <row r="39" spans="1:49" ht="15" x14ac:dyDescent="0.25">
      <c r="A39" s="45">
        <f>'Hierarchy &amp; Data'!A35</f>
        <v>0</v>
      </c>
      <c r="B39" s="44">
        <f ca="1">'Hierarchy &amp; Data'!E35</f>
        <v>0</v>
      </c>
      <c r="D39" s="86">
        <f ca="1">'Hierarchy &amp; Data'!F35</f>
        <v>0</v>
      </c>
      <c r="F39" s="87">
        <f>'Hierarchy &amp; Data'!G35</f>
        <v>0</v>
      </c>
      <c r="H39" s="88">
        <f ca="1">'Hierarchy &amp; Data'!H35</f>
        <v>0</v>
      </c>
      <c r="J39" s="48">
        <f ca="1">'Hierarchy &amp; Data'!I35</f>
        <v>0</v>
      </c>
      <c r="L39" s="44">
        <f ca="1">'Hierarchy &amp; Data'!J35</f>
        <v>0</v>
      </c>
      <c r="M39" s="90"/>
      <c r="N39" s="48">
        <f ca="1">'Hierarchy &amp; Data'!K35</f>
        <v>0</v>
      </c>
      <c r="O39" s="90"/>
      <c r="P39" s="44">
        <f>'Hierarchy &amp; Data'!L35</f>
        <v>0</v>
      </c>
      <c r="Q39" s="90"/>
      <c r="R39" s="87">
        <f ca="1">'Hierarchy &amp; Data'!M35</f>
        <v>0</v>
      </c>
      <c r="T39" s="44">
        <f ca="1">'Hierarchy &amp; Data'!N35</f>
        <v>0</v>
      </c>
      <c r="U39" s="90"/>
      <c r="V39" s="44">
        <f ca="1">'Hierarchy &amp; Data'!O35</f>
        <v>0</v>
      </c>
      <c r="X39" s="44">
        <f ca="1">'Hierarchy &amp; Data'!P35</f>
        <v>0</v>
      </c>
      <c r="Z39" s="44">
        <f ca="1">'Hierarchy &amp; Data'!Q35</f>
        <v>0</v>
      </c>
      <c r="AB39" s="87">
        <f ca="1">'Hierarchy &amp; Data'!R35</f>
        <v>0</v>
      </c>
      <c r="AD39" s="87" t="e">
        <f>'Hierarchy &amp; Data'!#REF!</f>
        <v>#REF!</v>
      </c>
      <c r="AF39" s="87">
        <f ca="1">'Hierarchy &amp; Data'!S35</f>
        <v>0</v>
      </c>
      <c r="AH39" s="8"/>
      <c r="AI39" s="8"/>
      <c r="AJ39" s="11" t="s">
        <v>95</v>
      </c>
      <c r="AK39" s="101">
        <v>71070</v>
      </c>
      <c r="AL39" s="108">
        <v>8.7606286467156043</v>
      </c>
      <c r="AM39" s="8"/>
      <c r="AN39" s="8"/>
      <c r="AO39" s="8"/>
    </row>
    <row r="40" spans="1:49" ht="15" x14ac:dyDescent="0.25">
      <c r="A40" s="45" t="str">
        <f>'Hierarchy &amp; Data'!A36</f>
        <v>D</v>
      </c>
      <c r="B40" s="44">
        <f>'Hierarchy &amp; Data'!E36</f>
        <v>0</v>
      </c>
      <c r="D40" s="86">
        <f>'Hierarchy &amp; Data'!F36</f>
        <v>0</v>
      </c>
      <c r="F40" s="87">
        <f>'Hierarchy &amp; Data'!G36</f>
        <v>0</v>
      </c>
      <c r="H40" s="88">
        <f>'Hierarchy &amp; Data'!H36</f>
        <v>0</v>
      </c>
      <c r="J40" s="48">
        <f>'Hierarchy &amp; Data'!I36</f>
        <v>0</v>
      </c>
      <c r="L40" s="44">
        <f>'Hierarchy &amp; Data'!J36</f>
        <v>0</v>
      </c>
      <c r="M40" s="90"/>
      <c r="N40" s="48">
        <f>'Hierarchy &amp; Data'!K36</f>
        <v>0</v>
      </c>
      <c r="O40" s="90"/>
      <c r="P40" s="44">
        <f>'Hierarchy &amp; Data'!L36</f>
        <v>0</v>
      </c>
      <c r="Q40" s="90"/>
      <c r="R40" s="87">
        <f>'Hierarchy &amp; Data'!M36</f>
        <v>0</v>
      </c>
      <c r="T40" s="44">
        <f>'Hierarchy &amp; Data'!N36</f>
        <v>0</v>
      </c>
      <c r="U40" s="90"/>
      <c r="V40" s="44">
        <f>'Hierarchy &amp; Data'!O36</f>
        <v>0</v>
      </c>
      <c r="X40" s="44">
        <f>'Hierarchy &amp; Data'!P36</f>
        <v>0</v>
      </c>
      <c r="Z40" s="44">
        <f>'Hierarchy &amp; Data'!Q36</f>
        <v>0</v>
      </c>
      <c r="AB40" s="87">
        <f>'Hierarchy &amp; Data'!R36</f>
        <v>0</v>
      </c>
      <c r="AD40" s="87" t="e">
        <f>'Hierarchy &amp; Data'!#REF!</f>
        <v>#REF!</v>
      </c>
      <c r="AF40" s="87">
        <f>'Hierarchy &amp; Data'!S36</f>
        <v>0</v>
      </c>
      <c r="AH40" s="8"/>
      <c r="AI40" s="8"/>
      <c r="AJ40" s="11" t="s">
        <v>100</v>
      </c>
      <c r="AK40" s="101">
        <v>35695</v>
      </c>
      <c r="AL40" s="108">
        <v>6.6619783628207543</v>
      </c>
      <c r="AM40" s="8"/>
      <c r="AN40" s="8"/>
      <c r="AO40" s="8"/>
    </row>
    <row r="41" spans="1:49" ht="15" x14ac:dyDescent="0.25">
      <c r="A41" s="45">
        <f>'Hierarchy &amp; Data'!A37</f>
        <v>0</v>
      </c>
      <c r="B41" s="44">
        <f ca="1">'Hierarchy &amp; Data'!E37</f>
        <v>0</v>
      </c>
      <c r="D41" s="86">
        <f ca="1">'Hierarchy &amp; Data'!F37</f>
        <v>0</v>
      </c>
      <c r="F41" s="87">
        <f>'Hierarchy &amp; Data'!G37</f>
        <v>0</v>
      </c>
      <c r="H41" s="88">
        <f ca="1">'Hierarchy &amp; Data'!H37</f>
        <v>0</v>
      </c>
      <c r="J41" s="48">
        <f ca="1">'Hierarchy &amp; Data'!I37</f>
        <v>0</v>
      </c>
      <c r="L41" s="44">
        <f ca="1">'Hierarchy &amp; Data'!J37</f>
        <v>0</v>
      </c>
      <c r="M41" s="90"/>
      <c r="N41" s="48">
        <f ca="1">'Hierarchy &amp; Data'!K37</f>
        <v>0</v>
      </c>
      <c r="O41" s="90"/>
      <c r="P41" s="44">
        <f>'Hierarchy &amp; Data'!L37</f>
        <v>0</v>
      </c>
      <c r="Q41" s="90"/>
      <c r="R41" s="87">
        <f ca="1">'Hierarchy &amp; Data'!M37</f>
        <v>0</v>
      </c>
      <c r="T41" s="44">
        <f ca="1">'Hierarchy &amp; Data'!N37</f>
        <v>0</v>
      </c>
      <c r="U41" s="90"/>
      <c r="V41" s="44">
        <f ca="1">'Hierarchy &amp; Data'!O37</f>
        <v>0</v>
      </c>
      <c r="X41" s="44">
        <f ca="1">'Hierarchy &amp; Data'!P37</f>
        <v>0</v>
      </c>
      <c r="Z41" s="44">
        <f ca="1">'Hierarchy &amp; Data'!Q37</f>
        <v>0</v>
      </c>
      <c r="AB41" s="87">
        <f ca="1">'Hierarchy &amp; Data'!R37</f>
        <v>0</v>
      </c>
      <c r="AD41" s="87" t="e">
        <f>'Hierarchy &amp; Data'!#REF!</f>
        <v>#REF!</v>
      </c>
      <c r="AF41" s="87">
        <f ca="1">'Hierarchy &amp; Data'!S37</f>
        <v>0</v>
      </c>
      <c r="AH41" s="8"/>
      <c r="AI41" s="8"/>
      <c r="AJ41" s="11" t="s">
        <v>101</v>
      </c>
      <c r="AK41" s="101">
        <v>29695</v>
      </c>
      <c r="AL41" s="108">
        <v>5.6825024703557308</v>
      </c>
      <c r="AM41" s="8"/>
      <c r="AN41" s="8"/>
      <c r="AO41" s="8"/>
    </row>
    <row r="42" spans="1:49" ht="15.75" customHeight="1" x14ac:dyDescent="0.25">
      <c r="A42" s="45" t="str">
        <f>'Hierarchy &amp; Data'!A38</f>
        <v>E</v>
      </c>
      <c r="B42" s="44">
        <f>'Hierarchy &amp; Data'!E38</f>
        <v>0</v>
      </c>
      <c r="D42" s="86">
        <f>'Hierarchy &amp; Data'!F38</f>
        <v>0</v>
      </c>
      <c r="F42" s="87">
        <f>'Hierarchy &amp; Data'!G38</f>
        <v>0</v>
      </c>
      <c r="H42" s="88">
        <f>'Hierarchy &amp; Data'!H38</f>
        <v>0</v>
      </c>
      <c r="J42" s="48">
        <f>'Hierarchy &amp; Data'!I38</f>
        <v>0</v>
      </c>
      <c r="L42" s="44">
        <f>'Hierarchy &amp; Data'!J38</f>
        <v>0</v>
      </c>
      <c r="M42" s="90"/>
      <c r="N42" s="48">
        <f>'Hierarchy &amp; Data'!K38</f>
        <v>0</v>
      </c>
      <c r="O42" s="90"/>
      <c r="P42" s="44">
        <f>'Hierarchy &amp; Data'!L38</f>
        <v>0</v>
      </c>
      <c r="Q42" s="90"/>
      <c r="R42" s="87">
        <f>'Hierarchy &amp; Data'!M38</f>
        <v>0</v>
      </c>
      <c r="T42" s="44">
        <f>'Hierarchy &amp; Data'!N38</f>
        <v>0</v>
      </c>
      <c r="U42" s="90"/>
      <c r="V42" s="44">
        <f>'Hierarchy &amp; Data'!O38</f>
        <v>0</v>
      </c>
      <c r="X42" s="44">
        <f>'Hierarchy &amp; Data'!P38</f>
        <v>0</v>
      </c>
      <c r="Z42" s="44">
        <f>'Hierarchy &amp; Data'!Q38</f>
        <v>0</v>
      </c>
      <c r="AB42" s="87">
        <f>'Hierarchy &amp; Data'!R38</f>
        <v>0</v>
      </c>
      <c r="AD42" s="87" t="e">
        <f>'Hierarchy &amp; Data'!#REF!</f>
        <v>#REF!</v>
      </c>
      <c r="AF42" s="87">
        <f>'Hierarchy &amp; Data'!S38</f>
        <v>0</v>
      </c>
      <c r="AH42" s="8"/>
      <c r="AI42" s="8"/>
      <c r="AJ42" s="11" t="s">
        <v>99</v>
      </c>
      <c r="AK42" s="101">
        <v>31672</v>
      </c>
      <c r="AL42" s="108">
        <v>6.9588641069075834</v>
      </c>
      <c r="AM42" s="8"/>
      <c r="AN42" s="8"/>
      <c r="AO42" s="8"/>
    </row>
    <row r="43" spans="1:49" ht="15" x14ac:dyDescent="0.25">
      <c r="A43" s="45">
        <f>'Hierarchy &amp; Data'!A39</f>
        <v>0</v>
      </c>
      <c r="B43" s="44">
        <f ca="1">'Hierarchy &amp; Data'!E39</f>
        <v>0</v>
      </c>
      <c r="D43" s="86">
        <f ca="1">'Hierarchy &amp; Data'!F39</f>
        <v>0</v>
      </c>
      <c r="F43" s="87">
        <f>'Hierarchy &amp; Data'!G39</f>
        <v>0</v>
      </c>
      <c r="H43" s="88">
        <f ca="1">'Hierarchy &amp; Data'!H39</f>
        <v>0</v>
      </c>
      <c r="J43" s="48">
        <f ca="1">'Hierarchy &amp; Data'!I39</f>
        <v>0</v>
      </c>
      <c r="L43" s="44">
        <f ca="1">'Hierarchy &amp; Data'!J39</f>
        <v>0</v>
      </c>
      <c r="M43" s="90"/>
      <c r="N43" s="48">
        <f ca="1">'Hierarchy &amp; Data'!K39</f>
        <v>0</v>
      </c>
      <c r="O43" s="90"/>
      <c r="P43" s="44">
        <f>'Hierarchy &amp; Data'!L39</f>
        <v>0</v>
      </c>
      <c r="Q43" s="90"/>
      <c r="R43" s="119">
        <f ca="1">'Hierarchy &amp; Data'!M39</f>
        <v>0</v>
      </c>
      <c r="T43" s="44">
        <f ca="1">'Hierarchy &amp; Data'!N39</f>
        <v>0</v>
      </c>
      <c r="U43" s="90"/>
      <c r="V43" s="44">
        <f ca="1">'Hierarchy &amp; Data'!O39</f>
        <v>0</v>
      </c>
      <c r="X43" s="44">
        <f ca="1">'Hierarchy &amp; Data'!P39</f>
        <v>0</v>
      </c>
      <c r="Z43" s="44">
        <f ca="1">'Hierarchy &amp; Data'!Q39</f>
        <v>0</v>
      </c>
      <c r="AB43" s="87">
        <f ca="1">'Hierarchy &amp; Data'!R39</f>
        <v>0</v>
      </c>
      <c r="AD43" s="87" t="e">
        <f>'Hierarchy &amp; Data'!#REF!</f>
        <v>#REF!</v>
      </c>
      <c r="AF43" s="87">
        <f ca="1">'Hierarchy &amp; Data'!S39</f>
        <v>0</v>
      </c>
      <c r="AH43" s="8"/>
      <c r="AI43" s="8"/>
      <c r="AJ43" s="11" t="s">
        <v>110</v>
      </c>
      <c r="AK43" s="101">
        <v>0</v>
      </c>
      <c r="AL43" s="108">
        <v>4.5328530255975901</v>
      </c>
      <c r="AM43" s="8"/>
      <c r="AN43" s="8"/>
      <c r="AO43" s="8"/>
    </row>
    <row r="44" spans="1:49" ht="15" x14ac:dyDescent="0.25">
      <c r="A44" s="45" t="s">
        <v>118</v>
      </c>
      <c r="B44" s="109">
        <v>26.5</v>
      </c>
      <c r="D44" s="110">
        <v>3045</v>
      </c>
      <c r="F44" s="113" t="s">
        <v>29</v>
      </c>
      <c r="H44" s="111">
        <v>419</v>
      </c>
      <c r="J44" s="112">
        <v>26.5</v>
      </c>
      <c r="L44" s="109">
        <v>57.6</v>
      </c>
      <c r="M44" s="106"/>
      <c r="N44" s="112">
        <v>40.799999999999997</v>
      </c>
      <c r="O44" s="106"/>
      <c r="P44" s="109">
        <v>5</v>
      </c>
      <c r="Q44" s="106"/>
      <c r="R44" s="119">
        <f>'Hierarchy &amp; Data'!M40</f>
        <v>0</v>
      </c>
      <c r="T44" s="109">
        <v>271</v>
      </c>
      <c r="U44" s="106"/>
      <c r="V44" s="109">
        <v>7.9</v>
      </c>
      <c r="X44" s="109">
        <v>4</v>
      </c>
      <c r="Z44" s="109">
        <v>10</v>
      </c>
      <c r="AB44" s="113" t="s">
        <v>20</v>
      </c>
      <c r="AD44" s="113" t="s">
        <v>49</v>
      </c>
      <c r="AF44" s="113" t="s">
        <v>50</v>
      </c>
      <c r="AH44" s="8"/>
      <c r="AI44" s="8"/>
      <c r="AJ44" s="94" t="s">
        <v>118</v>
      </c>
      <c r="AK44" s="101">
        <v>25990</v>
      </c>
      <c r="AL44" s="116">
        <f ca="1">AK76</f>
        <v>6.1339685502745516</v>
      </c>
      <c r="AM44" s="8"/>
      <c r="AN44" s="8"/>
      <c r="AO44" s="8"/>
    </row>
    <row r="45" spans="1:49" x14ac:dyDescent="0.2">
      <c r="A45" s="25" t="s">
        <v>102</v>
      </c>
      <c r="B45" s="35">
        <f ca="1">MAX(B34:B43)</f>
        <v>0</v>
      </c>
      <c r="D45" s="15">
        <f ca="1">MIN(D34:D43)</f>
        <v>0</v>
      </c>
      <c r="F45" s="35" t="s">
        <v>96</v>
      </c>
      <c r="H45" s="15">
        <f ca="1">MAX(H34:H43,H46)</f>
        <v>731</v>
      </c>
      <c r="J45" s="15">
        <f ca="1">MAX(J34:J43)</f>
        <v>24.5</v>
      </c>
      <c r="L45" s="15">
        <f ca="1">MAX(L34:L43)</f>
        <v>0</v>
      </c>
      <c r="M45" s="90"/>
      <c r="N45" s="15">
        <f ca="1">MAX(N34:N43)</f>
        <v>0</v>
      </c>
      <c r="O45" s="90"/>
      <c r="P45" s="35">
        <f>MAX(P34:P43)</f>
        <v>0.04</v>
      </c>
      <c r="Q45" s="90"/>
      <c r="R45" s="35" t="s">
        <v>22</v>
      </c>
      <c r="T45" s="15">
        <f ca="1">MAX(T34:T43)</f>
        <v>0</v>
      </c>
      <c r="U45" s="90"/>
      <c r="V45" s="15">
        <f ca="1">MAX(V34:V43)</f>
        <v>0</v>
      </c>
      <c r="X45" s="15">
        <f ca="1">MAX(X34:X43)</f>
        <v>0</v>
      </c>
      <c r="Z45" s="15">
        <f ca="1">MAX(Z34:Z44)</f>
        <v>10</v>
      </c>
      <c r="AB45" s="15" t="s">
        <v>20</v>
      </c>
      <c r="AD45" s="15" t="s">
        <v>49</v>
      </c>
      <c r="AF45" s="15" t="s">
        <v>50</v>
      </c>
      <c r="AH45" s="8"/>
      <c r="AI45" s="8"/>
      <c r="AJ45" s="94" t="s">
        <v>121</v>
      </c>
      <c r="AK45" s="101">
        <v>27500</v>
      </c>
      <c r="AL45" s="108">
        <f ca="1">AH77</f>
        <v>5.6560365069363172</v>
      </c>
      <c r="AM45" s="8"/>
      <c r="AN45" s="8"/>
      <c r="AO45" s="8"/>
      <c r="AP45" s="8"/>
    </row>
    <row r="46" spans="1:49" ht="15" x14ac:dyDescent="0.25">
      <c r="A46" s="45" t="s">
        <v>119</v>
      </c>
      <c r="B46" s="109">
        <v>33</v>
      </c>
      <c r="D46" s="124">
        <v>4600</v>
      </c>
      <c r="F46" s="125" t="s">
        <v>97</v>
      </c>
      <c r="H46" s="126">
        <v>731</v>
      </c>
      <c r="J46" s="112">
        <v>13.1</v>
      </c>
      <c r="L46" s="109">
        <v>58</v>
      </c>
      <c r="M46" s="117"/>
      <c r="N46" s="112">
        <v>41.6</v>
      </c>
      <c r="O46" s="117"/>
      <c r="P46" s="109">
        <v>5</v>
      </c>
      <c r="Q46" s="117"/>
      <c r="R46" s="125" t="s">
        <v>82</v>
      </c>
      <c r="T46" s="109">
        <v>200</v>
      </c>
      <c r="U46" s="117"/>
      <c r="V46" s="109">
        <v>8.6</v>
      </c>
      <c r="X46" s="109">
        <v>5</v>
      </c>
      <c r="Z46" s="109">
        <v>4</v>
      </c>
      <c r="AB46" s="125" t="s">
        <v>112</v>
      </c>
      <c r="AD46" s="125" t="s">
        <v>49</v>
      </c>
      <c r="AF46" s="125" t="s">
        <v>50</v>
      </c>
    </row>
    <row r="47" spans="1:49" x14ac:dyDescent="0.2">
      <c r="A47" s="10" t="s">
        <v>4</v>
      </c>
      <c r="C47" s="13" t="s">
        <v>1</v>
      </c>
      <c r="E47" s="13" t="s">
        <v>1</v>
      </c>
      <c r="G47" s="13" t="s">
        <v>1</v>
      </c>
      <c r="I47" s="13" t="s">
        <v>1</v>
      </c>
      <c r="K47" s="13" t="s">
        <v>1</v>
      </c>
      <c r="M47" s="13" t="s">
        <v>1</v>
      </c>
      <c r="O47" s="13" t="s">
        <v>1</v>
      </c>
      <c r="Q47" s="13" t="s">
        <v>1</v>
      </c>
      <c r="S47" s="13" t="s">
        <v>1</v>
      </c>
      <c r="U47" s="13" t="s">
        <v>1</v>
      </c>
      <c r="W47" s="13" t="s">
        <v>1</v>
      </c>
      <c r="Y47" s="13" t="s">
        <v>1</v>
      </c>
      <c r="AA47" s="13" t="s">
        <v>1</v>
      </c>
      <c r="AC47" s="13" t="s">
        <v>1</v>
      </c>
      <c r="AE47" s="13" t="s">
        <v>1</v>
      </c>
      <c r="AG47" s="13" t="s">
        <v>1</v>
      </c>
      <c r="AJ47" s="81"/>
    </row>
    <row r="48" spans="1:49" ht="15" x14ac:dyDescent="0.2">
      <c r="A48" s="17" t="str">
        <f t="shared" ref="A48:A57" si="1">A34</f>
        <v>2014 Toyota Camry</v>
      </c>
      <c r="B48" s="18"/>
      <c r="C48" s="37">
        <f t="shared" ref="C48:C56" ca="1" si="2">IF(TREND(OFFSET(B$13,MATCH(B34,B$14:B$20),1,2,1),OFFSET(B$13,MATCH(B34,B$14:B$20),0,2,1),B34)&lt;0.001,0,TREND(OFFSET(B$13,MATCH(B34,B$14:B$20),1,2,1),OFFSET(B$13,MATCH(B34,B$14:B$20),0,2,1),B34))</f>
        <v>10</v>
      </c>
      <c r="D48" s="102"/>
      <c r="E48" s="37" t="e">
        <f ca="1">IF(TREND(OFFSET(D$13,MATCH(D34,D$14:D$20),1,2,1),OFFSET(D$13,MATCH(D34,D$14:D$20),0,2,1),D34)&lt;0.001,0,TREND(OFFSET(D$13,MATCH(D34,D$14:D$20),1,2,1),OFFSET(D$13,MATCH(D34,D$14:D$20),0,2,1),D34))</f>
        <v>#VALUE!</v>
      </c>
      <c r="F48" s="102"/>
      <c r="G48" s="37">
        <f>VLOOKUP(F34,$F$14:$G$17,2)</f>
        <v>9</v>
      </c>
      <c r="H48" s="102"/>
      <c r="I48" s="37" t="e">
        <f ca="1">IF(TREND(OFFSET(H$13,MATCH(H34,H$14:H$20),1,2,1),OFFSET(H$13,MATCH(H34,H$14:H$20),0,2,1),H34)&lt;0.001,0,TREND(OFFSET(H$13,MATCH(H34,H$14:H$20),1,2,1),OFFSET(H$13,MATCH(H34,H$14:H$20),0,2,1),H34))</f>
        <v>#N/A</v>
      </c>
      <c r="J48" s="102"/>
      <c r="K48" s="37">
        <f t="shared" ref="K48:K56" ca="1" si="3">IF(TREND(OFFSET(J$13,MATCH(J34,J$14:J$20),1,2,1),OFFSET(J$13,MATCH(J34,J$14:J$20),0,2,1),J34)&lt;0.001,0,TREND(OFFSET(J$13,MATCH(J34,J$14:J$20),1,2,1),OFFSET(J$13,MATCH(J34,J$14:J$20),0,2,1),J34))</f>
        <v>5.5749999999999993</v>
      </c>
      <c r="L48" s="102"/>
      <c r="M48" s="37" t="e">
        <f ca="1">IF(TREND(OFFSET(L$13,MATCH(L34,L$14:L$20),1,2,1),OFFSET(L$13,MATCH(L34,L$14:L$20),0,2,1),L34)&lt;0.001,0,TREND(OFFSET(L$13,MATCH(L34,L$14:L$20),1,2,1),OFFSET(L$13,MATCH(L34,L$14:L$20),0,2,1),L34))</f>
        <v>#N/A</v>
      </c>
      <c r="N48" s="102"/>
      <c r="O48" s="37" t="e">
        <f ca="1">IF(TREND(OFFSET(N$13,MATCH(N34,N$14:N$20),1,2,1),OFFSET(N$13,MATCH(N34,N$14:N$20),0,2,1),N34)&lt;0.001,0,TREND(OFFSET(N$13,MATCH(N34,N$14:N$20),1,2,1),OFFSET(N$13,MATCH(N34,N$14:N$20),0,2,1),N34))</f>
        <v>#N/A</v>
      </c>
      <c r="P48" s="102"/>
      <c r="Q48" s="37" t="e">
        <f ca="1">IF(TREND(OFFSET(P$13,MATCH(P34,P$14:P$20),1,2,1),OFFSET(P$13,MATCH(P34,P$14:P$20),0,2,1),P34)&lt;0.001,0,TREND(OFFSET(P$13,MATCH(P34,P$14:P$20),1,2,1),OFFSET(P$13,MATCH(P34,P$14:P$20),0,2,1),P34))</f>
        <v>#N/A</v>
      </c>
      <c r="R48" s="102"/>
      <c r="S48" s="37" t="e">
        <f t="shared" ref="S48:S58" si="4">VLOOKUP(R34,$R$14:$S$16,2)</f>
        <v>#N/A</v>
      </c>
      <c r="T48" s="102"/>
      <c r="U48" s="37" t="e">
        <f t="shared" ref="U48:AA48" ca="1" si="5">IF(TREND(OFFSET(T$13,MATCH(T34,T$14:T$20),1,2,1),OFFSET(T$13,MATCH(T34,T$14:T$20),0,2,1),T34)&lt;0.001,0,TREND(OFFSET(T$13,MATCH(T34,T$14:T$20),1,2,1),OFFSET(T$13,MATCH(T34,T$14:T$20),0,2,1),T34))</f>
        <v>#N/A</v>
      </c>
      <c r="V48" s="102"/>
      <c r="W48" s="37" t="e">
        <f t="shared" ca="1" si="5"/>
        <v>#VALUE!</v>
      </c>
      <c r="X48" s="102"/>
      <c r="Y48" s="37">
        <f t="shared" ref="Y48:Y57" ca="1" si="6">IF(TREND(OFFSET(X$13,MATCH(X34,X$14:X$20),1,2,1),OFFSET(X$13,MATCH(X34,X$14:X$20),0,2,1),X34)&lt;0.001,0,TREND(OFFSET(X$13,MATCH(X34,X$14:X$20),1,2,1),OFFSET(X$13,MATCH(X34,X$14:X$20),0,2,1),X34))</f>
        <v>10</v>
      </c>
      <c r="Z48" s="102"/>
      <c r="AA48" s="37" t="e">
        <f t="shared" ca="1" si="5"/>
        <v>#VALUE!</v>
      </c>
      <c r="AB48" s="102"/>
      <c r="AC48" s="37" t="e">
        <f t="shared" ref="AC48:AC56" si="7">LOOKUP(AB34,$AB$14:$AB$20,$AC$14:$AC$20)</f>
        <v>#N/A</v>
      </c>
      <c r="AD48" s="102"/>
      <c r="AE48" s="37" t="e">
        <f t="shared" ref="AE48:AE56" si="8">LOOKUP(AD34,$AD$14:$AD$20,$AE$14:$AE$20)</f>
        <v>#REF!</v>
      </c>
      <c r="AF48" s="102"/>
      <c r="AG48" s="37">
        <f t="shared" ref="AG48:AG56" si="9">LOOKUP(AF34,$AF$14:$AF$20,$AG$14:$AG$20)</f>
        <v>10</v>
      </c>
    </row>
    <row r="49" spans="1:49" ht="15" x14ac:dyDescent="0.2">
      <c r="A49" s="17">
        <f t="shared" si="1"/>
        <v>0</v>
      </c>
      <c r="C49" s="37" t="e">
        <f t="shared" ca="1" si="2"/>
        <v>#N/A</v>
      </c>
      <c r="E49" s="37" t="e">
        <f t="shared" ref="E49" ca="1" si="10">IF(TREND(OFFSET(D$13,MATCH(D35,D$14:D$20),1,2,1),OFFSET(D$13,MATCH(D35,D$14:D$20),0,2,1),D35)&lt;0.001,0,TREND(OFFSET(D$13,MATCH(D35,D$14:D$20),1,2,1),OFFSET(D$13,MATCH(D35,D$14:D$20),0,2,1),D35))</f>
        <v>#N/A</v>
      </c>
      <c r="G49" s="37" t="e">
        <f>VLOOKUP(F35,$F$14:$G$17,2)</f>
        <v>#N/A</v>
      </c>
      <c r="I49" s="37" t="e">
        <f t="shared" ref="I49" ca="1" si="11">IF(TREND(OFFSET(H$13,MATCH(H35,H$14:H$20),1,2,1),OFFSET(H$13,MATCH(H35,H$14:H$20),0,2,1),H35)&lt;0.001,0,TREND(OFFSET(H$13,MATCH(H35,H$14:H$20),1,2,1),OFFSET(H$13,MATCH(H35,H$14:H$20),0,2,1),H35))</f>
        <v>#N/A</v>
      </c>
      <c r="K49" s="37">
        <f t="shared" ca="1" si="3"/>
        <v>0</v>
      </c>
      <c r="L49" s="102"/>
      <c r="M49" s="37" t="e">
        <f t="shared" ref="M49" ca="1" si="12">IF(TREND(OFFSET(L$13,MATCH(L35,L$14:L$20),1,2,1),OFFSET(L$13,MATCH(L35,L$14:L$20),0,2,1),L35)&lt;0.001,0,TREND(OFFSET(L$13,MATCH(L35,L$14:L$20),1,2,1),OFFSET(L$13,MATCH(L35,L$14:L$20),0,2,1),L35))</f>
        <v>#N/A</v>
      </c>
      <c r="O49" s="37" t="e">
        <f t="shared" ref="O49" ca="1" si="13">IF(TREND(OFFSET(N$13,MATCH(N35,N$14:N$20),1,2,1),OFFSET(N$13,MATCH(N35,N$14:N$20),0,2,1),N35)&lt;0.001,0,TREND(OFFSET(N$13,MATCH(N35,N$14:N$20),1,2,1),OFFSET(N$13,MATCH(N35,N$14:N$20),0,2,1),N35))</f>
        <v>#N/A</v>
      </c>
      <c r="Q49" s="37" t="e">
        <f t="shared" ref="Q49" ca="1" si="14">IF(TREND(OFFSET(P$13,MATCH(P35,P$14:P$20),1,2,1),OFFSET(P$13,MATCH(P35,P$14:P$20),0,2,1),P35)&lt;0.001,0,TREND(OFFSET(P$13,MATCH(P35,P$14:P$20),1,2,1),OFFSET(P$13,MATCH(P35,P$14:P$20),0,2,1),P35))</f>
        <v>#N/A</v>
      </c>
      <c r="S49" s="37" t="e">
        <f t="shared" ca="1" si="4"/>
        <v>#N/A</v>
      </c>
      <c r="U49" s="37" t="e">
        <f t="shared" ref="U49" ca="1" si="15">IF(TREND(OFFSET(T$13,MATCH(T35,T$14:T$20),1,2,1),OFFSET(T$13,MATCH(T35,T$14:T$20),0,2,1),T35)&lt;0.001,0,TREND(OFFSET(T$13,MATCH(T35,T$14:T$20),1,2,1),OFFSET(T$13,MATCH(T35,T$14:T$20),0,2,1),T35))</f>
        <v>#N/A</v>
      </c>
      <c r="W49" s="37" t="e">
        <f t="shared" ref="W49" ca="1" si="16">IF(TREND(OFFSET(V$13,MATCH(V35,V$14:V$20),1,2,1),OFFSET(V$13,MATCH(V35,V$14:V$20),0,2,1),V35)&lt;0.001,0,TREND(OFFSET(V$13,MATCH(V35,V$14:V$20),1,2,1),OFFSET(V$13,MATCH(V35,V$14:V$20),0,2,1),V35))</f>
        <v>#N/A</v>
      </c>
      <c r="Y49" s="37" t="e">
        <f t="shared" ca="1" si="6"/>
        <v>#N/A</v>
      </c>
      <c r="AA49" s="37" t="e">
        <f t="shared" ref="AA49" ca="1" si="17">IF(TREND(OFFSET(Z$13,MATCH(Z35,Z$14:Z$20),1,2,1),OFFSET(Z$13,MATCH(Z35,Z$14:Z$20),0,2,1),Z35)&lt;0.001,0,TREND(OFFSET(Z$13,MATCH(Z35,Z$14:Z$20),1,2,1),OFFSET(Z$13,MATCH(Z35,Z$14:Z$20),0,2,1),Z35))</f>
        <v>#N/A</v>
      </c>
      <c r="AB49" s="81"/>
      <c r="AC49" s="37" t="e">
        <f t="shared" ca="1" si="7"/>
        <v>#N/A</v>
      </c>
      <c r="AE49" s="37" t="e">
        <f t="shared" si="8"/>
        <v>#REF!</v>
      </c>
      <c r="AG49" s="37" t="e">
        <f t="shared" ca="1" si="9"/>
        <v>#N/A</v>
      </c>
    </row>
    <row r="50" spans="1:49" ht="15" x14ac:dyDescent="0.2">
      <c r="A50" s="17" t="str">
        <f t="shared" si="1"/>
        <v>2016 Toyota Rav4 Hybrid XLE</v>
      </c>
      <c r="C50" s="37">
        <f t="shared" ca="1" si="2"/>
        <v>10</v>
      </c>
      <c r="E50" s="37" t="e">
        <f t="shared" ref="E50" ca="1" si="18">IF(TREND(OFFSET(D$13,MATCH(D36,D$14:D$20),1,2,1),OFFSET(D$13,MATCH(D36,D$14:D$20),0,2,1),D36)&lt;0.001,0,TREND(OFFSET(D$13,MATCH(D36,D$14:D$20),1,2,1),OFFSET(D$13,MATCH(D36,D$14:D$20),0,2,1),D36))</f>
        <v>#VALUE!</v>
      </c>
      <c r="G50" s="37">
        <f>VLOOKUP(F36,$F$14:$G$17,2)</f>
        <v>9</v>
      </c>
      <c r="I50" s="37" t="e">
        <f t="shared" ref="I50" ca="1" si="19">IF(TREND(OFFSET(H$13,MATCH(H36,H$14:H$20),1,2,1),OFFSET(H$13,MATCH(H36,H$14:H$20),0,2,1),H36)&lt;0.001,0,TREND(OFFSET(H$13,MATCH(H36,H$14:H$20),1,2,1),OFFSET(H$13,MATCH(H36,H$14:H$20),0,2,1),H36))</f>
        <v>#N/A</v>
      </c>
      <c r="K50" s="37">
        <f t="shared" ca="1" si="3"/>
        <v>0</v>
      </c>
      <c r="L50" s="102"/>
      <c r="M50" s="37" t="e">
        <f t="shared" ref="M50" ca="1" si="20">IF(TREND(OFFSET(L$13,MATCH(L36,L$14:L$20),1,2,1),OFFSET(L$13,MATCH(L36,L$14:L$20),0,2,1),L36)&lt;0.001,0,TREND(OFFSET(L$13,MATCH(L36,L$14:L$20),1,2,1),OFFSET(L$13,MATCH(L36,L$14:L$20),0,2,1),L36))</f>
        <v>#N/A</v>
      </c>
      <c r="O50" s="37" t="e">
        <f t="shared" ref="O50" ca="1" si="21">IF(TREND(OFFSET(N$13,MATCH(N36,N$14:N$20),1,2,1),OFFSET(N$13,MATCH(N36,N$14:N$20),0,2,1),N36)&lt;0.001,0,TREND(OFFSET(N$13,MATCH(N36,N$14:N$20),1,2,1),OFFSET(N$13,MATCH(N36,N$14:N$20),0,2,1),N36))</f>
        <v>#N/A</v>
      </c>
      <c r="Q50" s="37" t="e">
        <f t="shared" ref="Q50" ca="1" si="22">IF(TREND(OFFSET(P$13,MATCH(P36,P$14:P$20),1,2,1),OFFSET(P$13,MATCH(P36,P$14:P$20),0,2,1),P36)&lt;0.001,0,TREND(OFFSET(P$13,MATCH(P36,P$14:P$20),1,2,1),OFFSET(P$13,MATCH(P36,P$14:P$20),0,2,1),P36))</f>
        <v>#N/A</v>
      </c>
      <c r="S50" s="37" t="e">
        <f t="shared" si="4"/>
        <v>#N/A</v>
      </c>
      <c r="U50" s="37" t="e">
        <f t="shared" ref="U50" ca="1" si="23">IF(TREND(OFFSET(T$13,MATCH(T36,T$14:T$20),1,2,1),OFFSET(T$13,MATCH(T36,T$14:T$20),0,2,1),T36)&lt;0.001,0,TREND(OFFSET(T$13,MATCH(T36,T$14:T$20),1,2,1),OFFSET(T$13,MATCH(T36,T$14:T$20),0,2,1),T36))</f>
        <v>#N/A</v>
      </c>
      <c r="W50" s="37" t="e">
        <f t="shared" ref="W50" ca="1" si="24">IF(TREND(OFFSET(V$13,MATCH(V36,V$14:V$20),1,2,1),OFFSET(V$13,MATCH(V36,V$14:V$20),0,2,1),V36)&lt;0.001,0,TREND(OFFSET(V$13,MATCH(V36,V$14:V$20),1,2,1),OFFSET(V$13,MATCH(V36,V$14:V$20),0,2,1),V36))</f>
        <v>#VALUE!</v>
      </c>
      <c r="Y50" s="37">
        <f t="shared" ca="1" si="6"/>
        <v>10</v>
      </c>
      <c r="AA50" s="37" t="e">
        <f t="shared" ref="AA50" ca="1" si="25">IF(TREND(OFFSET(Z$13,MATCH(Z36,Z$14:Z$20),1,2,1),OFFSET(Z$13,MATCH(Z36,Z$14:Z$20),0,2,1),Z36)&lt;0.001,0,TREND(OFFSET(Z$13,MATCH(Z36,Z$14:Z$20),1,2,1),OFFSET(Z$13,MATCH(Z36,Z$14:Z$20),0,2,1),Z36))</f>
        <v>#VALUE!</v>
      </c>
      <c r="AC50" s="37" t="e">
        <f t="shared" si="7"/>
        <v>#N/A</v>
      </c>
      <c r="AE50" s="37" t="e">
        <f t="shared" si="8"/>
        <v>#REF!</v>
      </c>
      <c r="AG50" s="37" t="e">
        <f t="shared" si="9"/>
        <v>#N/A</v>
      </c>
    </row>
    <row r="51" spans="1:49" ht="15" x14ac:dyDescent="0.2">
      <c r="A51" s="17">
        <f t="shared" si="1"/>
        <v>0</v>
      </c>
      <c r="C51" s="37" t="e">
        <f t="shared" ca="1" si="2"/>
        <v>#N/A</v>
      </c>
      <c r="E51" s="37" t="e">
        <f t="shared" ref="E51" ca="1" si="26">IF(TREND(OFFSET(D$13,MATCH(D37,D$14:D$20),1,2,1),OFFSET(D$13,MATCH(D37,D$14:D$20),0,2,1),D37)&lt;0.001,0,TREND(OFFSET(D$13,MATCH(D37,D$14:D$20),1,2,1),OFFSET(D$13,MATCH(D37,D$14:D$20),0,2,1),D37))</f>
        <v>#N/A</v>
      </c>
      <c r="G51" s="37" t="e">
        <f t="shared" ref="G51:G59" si="27">VLOOKUP(F37,$F$14:$G$17,2)</f>
        <v>#N/A</v>
      </c>
      <c r="I51" s="37" t="e">
        <f t="shared" ref="I51" ca="1" si="28">IF(TREND(OFFSET(H$13,MATCH(H37,H$14:H$20),1,2,1),OFFSET(H$13,MATCH(H37,H$14:H$20),0,2,1),H37)&lt;0.001,0,TREND(OFFSET(H$13,MATCH(H37,H$14:H$20),1,2,1),OFFSET(H$13,MATCH(H37,H$14:H$20),0,2,1),H37))</f>
        <v>#N/A</v>
      </c>
      <c r="K51" s="37">
        <f t="shared" ca="1" si="3"/>
        <v>0</v>
      </c>
      <c r="L51" s="102"/>
      <c r="M51" s="37" t="e">
        <f t="shared" ref="M51" ca="1" si="29">IF(TREND(OFFSET(L$13,MATCH(L37,L$14:L$20),1,2,1),OFFSET(L$13,MATCH(L37,L$14:L$20),0,2,1),L37)&lt;0.001,0,TREND(OFFSET(L$13,MATCH(L37,L$14:L$20),1,2,1),OFFSET(L$13,MATCH(L37,L$14:L$20),0,2,1),L37))</f>
        <v>#N/A</v>
      </c>
      <c r="O51" s="37" t="e">
        <f t="shared" ref="O51" ca="1" si="30">IF(TREND(OFFSET(N$13,MATCH(N37,N$14:N$20),1,2,1),OFFSET(N$13,MATCH(N37,N$14:N$20),0,2,1),N37)&lt;0.001,0,TREND(OFFSET(N$13,MATCH(N37,N$14:N$20),1,2,1),OFFSET(N$13,MATCH(N37,N$14:N$20),0,2,1),N37))</f>
        <v>#N/A</v>
      </c>
      <c r="Q51" s="37" t="e">
        <f t="shared" ref="Q51" ca="1" si="31">IF(TREND(OFFSET(P$13,MATCH(P37,P$14:P$20),1,2,1),OFFSET(P$13,MATCH(P37,P$14:P$20),0,2,1),P37)&lt;0.001,0,TREND(OFFSET(P$13,MATCH(P37,P$14:P$20),1,2,1),OFFSET(P$13,MATCH(P37,P$14:P$20),0,2,1),P37))</f>
        <v>#N/A</v>
      </c>
      <c r="S51" s="37" t="e">
        <f t="shared" ca="1" si="4"/>
        <v>#N/A</v>
      </c>
      <c r="U51" s="37" t="e">
        <f ca="1">IF(TREND(OFFSET(T$13,MATCH(T37,T$14:T$20),1,2,1),OFFSET(T$13,MATCH(T37,T$14:T$20),0,2,1),T37)&lt;0.001,0,TREND(OFFSET(T$13,MATCH(T37,T$14:T$20),1,2,1),OFFSET(T$13,MATCH(T37,T$14:T$20),0,2,1),T37))</f>
        <v>#N/A</v>
      </c>
      <c r="W51" s="37" t="e">
        <f t="shared" ref="W51" ca="1" si="32">IF(TREND(OFFSET(V$13,MATCH(V37,V$14:V$20),1,2,1),OFFSET(V$13,MATCH(V37,V$14:V$20),0,2,1),V37)&lt;0.001,0,TREND(OFFSET(V$13,MATCH(V37,V$14:V$20),1,2,1),OFFSET(V$13,MATCH(V37,V$14:V$20),0,2,1),V37))</f>
        <v>#N/A</v>
      </c>
      <c r="Y51" s="37" t="e">
        <f t="shared" ca="1" si="6"/>
        <v>#N/A</v>
      </c>
      <c r="AA51" s="37" t="e">
        <f t="shared" ref="AA51" ca="1" si="33">IF(TREND(OFFSET(Z$13,MATCH(Z37,Z$14:Z$20),1,2,1),OFFSET(Z$13,MATCH(Z37,Z$14:Z$20),0,2,1),Z37)&lt;0.001,0,TREND(OFFSET(Z$13,MATCH(Z37,Z$14:Z$20),1,2,1),OFFSET(Z$13,MATCH(Z37,Z$14:Z$20),0,2,1),Z37))</f>
        <v>#N/A</v>
      </c>
      <c r="AC51" s="37" t="e">
        <f t="shared" ca="1" si="7"/>
        <v>#N/A</v>
      </c>
      <c r="AE51" s="37" t="e">
        <f t="shared" si="8"/>
        <v>#REF!</v>
      </c>
      <c r="AG51" s="37" t="e">
        <f t="shared" ca="1" si="9"/>
        <v>#N/A</v>
      </c>
    </row>
    <row r="52" spans="1:49" ht="15" x14ac:dyDescent="0.2">
      <c r="A52" s="17" t="str">
        <f t="shared" si="1"/>
        <v>C</v>
      </c>
      <c r="C52" s="37" t="e">
        <f t="shared" ca="1" si="2"/>
        <v>#N/A</v>
      </c>
      <c r="E52" s="37" t="e">
        <f t="shared" ref="E52" ca="1" si="34">IF(TREND(OFFSET(D$13,MATCH(D38,D$14:D$20),1,2,1),OFFSET(D$13,MATCH(D38,D$14:D$20),0,2,1),D38)&lt;0.001,0,TREND(OFFSET(D$13,MATCH(D38,D$14:D$20),1,2,1),OFFSET(D$13,MATCH(D38,D$14:D$20),0,2,1),D38))</f>
        <v>#N/A</v>
      </c>
      <c r="G52" s="37" t="e">
        <f t="shared" si="27"/>
        <v>#N/A</v>
      </c>
      <c r="I52" s="37" t="e">
        <f t="shared" ref="I52" ca="1" si="35">IF(TREND(OFFSET(H$13,MATCH(H38,H$14:H$20),1,2,1),OFFSET(H$13,MATCH(H38,H$14:H$20),0,2,1),H38)&lt;0.001,0,TREND(OFFSET(H$13,MATCH(H38,H$14:H$20),1,2,1),OFFSET(H$13,MATCH(H38,H$14:H$20),0,2,1),H38))</f>
        <v>#N/A</v>
      </c>
      <c r="K52" s="37">
        <f t="shared" ca="1" si="3"/>
        <v>0</v>
      </c>
      <c r="L52" s="102"/>
      <c r="M52" s="37" t="e">
        <f t="shared" ref="M52" ca="1" si="36">IF(TREND(OFFSET(L$13,MATCH(L38,L$14:L$20),1,2,1),OFFSET(L$13,MATCH(L38,L$14:L$20),0,2,1),L38)&lt;0.001,0,TREND(OFFSET(L$13,MATCH(L38,L$14:L$20),1,2,1),OFFSET(L$13,MATCH(L38,L$14:L$20),0,2,1),L38))</f>
        <v>#N/A</v>
      </c>
      <c r="O52" s="37" t="e">
        <f t="shared" ref="O52" ca="1" si="37">IF(TREND(OFFSET(N$13,MATCH(N38,N$14:N$20),1,2,1),OFFSET(N$13,MATCH(N38,N$14:N$20),0,2,1),N38)&lt;0.001,0,TREND(OFFSET(N$13,MATCH(N38,N$14:N$20),1,2,1),OFFSET(N$13,MATCH(N38,N$14:N$20),0,2,1),N38))</f>
        <v>#N/A</v>
      </c>
      <c r="Q52" s="37" t="e">
        <f t="shared" ref="Q52" ca="1" si="38">IF(TREND(OFFSET(P$13,MATCH(P38,P$14:P$20),1,2,1),OFFSET(P$13,MATCH(P38,P$14:P$20),0,2,1),P38)&lt;0.001,0,TREND(OFFSET(P$13,MATCH(P38,P$14:P$20),1,2,1),OFFSET(P$13,MATCH(P38,P$14:P$20),0,2,1),P38))</f>
        <v>#N/A</v>
      </c>
      <c r="S52" s="37" t="e">
        <f t="shared" si="4"/>
        <v>#N/A</v>
      </c>
      <c r="U52" s="37" t="e">
        <f t="shared" ref="U52" ca="1" si="39">IF(TREND(OFFSET(T$13,MATCH(T38,T$14:T$20),1,2,1),OFFSET(T$13,MATCH(T38,T$14:T$20),0,2,1),T38)&lt;0.001,0,TREND(OFFSET(T$13,MATCH(T38,T$14:T$20),1,2,1),OFFSET(T$13,MATCH(T38,T$14:T$20),0,2,1),T38))</f>
        <v>#N/A</v>
      </c>
      <c r="W52" s="37" t="e">
        <f t="shared" ref="W52" ca="1" si="40">IF(TREND(OFFSET(V$13,MATCH(V38,V$14:V$20),1,2,1),OFFSET(V$13,MATCH(V38,V$14:V$20),0,2,1),V38)&lt;0.001,0,TREND(OFFSET(V$13,MATCH(V38,V$14:V$20),1,2,1),OFFSET(V$13,MATCH(V38,V$14:V$20),0,2,1),V38))</f>
        <v>#N/A</v>
      </c>
      <c r="Y52" s="37" t="e">
        <f t="shared" ca="1" si="6"/>
        <v>#N/A</v>
      </c>
      <c r="AA52" s="37" t="e">
        <f t="shared" ref="AA52" ca="1" si="41">IF(TREND(OFFSET(Z$13,MATCH(Z38,Z$14:Z$20),1,2,1),OFFSET(Z$13,MATCH(Z38,Z$14:Z$20),0,2,1),Z38)&lt;0.001,0,TREND(OFFSET(Z$13,MATCH(Z38,Z$14:Z$20),1,2,1),OFFSET(Z$13,MATCH(Z38,Z$14:Z$20),0,2,1),Z38))</f>
        <v>#N/A</v>
      </c>
      <c r="AC52" s="37" t="e">
        <f t="shared" si="7"/>
        <v>#N/A</v>
      </c>
      <c r="AE52" s="37" t="e">
        <f t="shared" si="8"/>
        <v>#REF!</v>
      </c>
      <c r="AG52" s="37" t="e">
        <f t="shared" si="9"/>
        <v>#N/A</v>
      </c>
    </row>
    <row r="53" spans="1:49" ht="15" x14ac:dyDescent="0.2">
      <c r="A53" s="17">
        <f t="shared" si="1"/>
        <v>0</v>
      </c>
      <c r="C53" s="37" t="e">
        <f t="shared" ca="1" si="2"/>
        <v>#N/A</v>
      </c>
      <c r="E53" s="37" t="e">
        <f t="shared" ref="E53" ca="1" si="42">IF(TREND(OFFSET(D$13,MATCH(D39,D$14:D$20),1,2,1),OFFSET(D$13,MATCH(D39,D$14:D$20),0,2,1),D39)&lt;0.001,0,TREND(OFFSET(D$13,MATCH(D39,D$14:D$20),1,2,1),OFFSET(D$13,MATCH(D39,D$14:D$20),0,2,1),D39))</f>
        <v>#N/A</v>
      </c>
      <c r="G53" s="37" t="e">
        <f>VLOOKUP(F39,$F$14:$G$17,2)</f>
        <v>#N/A</v>
      </c>
      <c r="I53" s="37" t="e">
        <f t="shared" ref="I53" ca="1" si="43">IF(TREND(OFFSET(H$13,MATCH(H39,H$14:H$20),1,2,1),OFFSET(H$13,MATCH(H39,H$14:H$20),0,2,1),H39)&lt;0.001,0,TREND(OFFSET(H$13,MATCH(H39,H$14:H$20),1,2,1),OFFSET(H$13,MATCH(H39,H$14:H$20),0,2,1),H39))</f>
        <v>#N/A</v>
      </c>
      <c r="K53" s="37">
        <f t="shared" ca="1" si="3"/>
        <v>0</v>
      </c>
      <c r="L53" s="102"/>
      <c r="M53" s="37" t="e">
        <f t="shared" ref="M53" ca="1" si="44">IF(TREND(OFFSET(L$13,MATCH(L39,L$14:L$20),1,2,1),OFFSET(L$13,MATCH(L39,L$14:L$20),0,2,1),L39)&lt;0.001,0,TREND(OFFSET(L$13,MATCH(L39,L$14:L$20),1,2,1),OFFSET(L$13,MATCH(L39,L$14:L$20),0,2,1),L39))</f>
        <v>#N/A</v>
      </c>
      <c r="O53" s="37" t="e">
        <f t="shared" ref="O53" ca="1" si="45">IF(TREND(OFFSET(N$13,MATCH(N39,N$14:N$20),1,2,1),OFFSET(N$13,MATCH(N39,N$14:N$20),0,2,1),N39)&lt;0.001,0,TREND(OFFSET(N$13,MATCH(N39,N$14:N$20),1,2,1),OFFSET(N$13,MATCH(N39,N$14:N$20),0,2,1),N39))</f>
        <v>#N/A</v>
      </c>
      <c r="Q53" s="37" t="e">
        <f t="shared" ref="Q53" ca="1" si="46">IF(TREND(OFFSET(P$13,MATCH(P39,P$14:P$20),1,2,1),OFFSET(P$13,MATCH(P39,P$14:P$20),0,2,1),P39)&lt;0.001,0,TREND(OFFSET(P$13,MATCH(P39,P$14:P$20),1,2,1),OFFSET(P$13,MATCH(P39,P$14:P$20),0,2,1),P39))</f>
        <v>#N/A</v>
      </c>
      <c r="S53" s="37" t="e">
        <f t="shared" ca="1" si="4"/>
        <v>#N/A</v>
      </c>
      <c r="U53" s="37" t="e">
        <f t="shared" ref="U53" ca="1" si="47">IF(TREND(OFFSET(T$13,MATCH(T39,T$14:T$20),1,2,1),OFFSET(T$13,MATCH(T39,T$14:T$20),0,2,1),T39)&lt;0.001,0,TREND(OFFSET(T$13,MATCH(T39,T$14:T$20),1,2,1),OFFSET(T$13,MATCH(T39,T$14:T$20),0,2,1),T39))</f>
        <v>#N/A</v>
      </c>
      <c r="W53" s="37" t="e">
        <f t="shared" ref="W53" ca="1" si="48">IF(TREND(OFFSET(V$13,MATCH(V39,V$14:V$20),1,2,1),OFFSET(V$13,MATCH(V39,V$14:V$20),0,2,1),V39)&lt;0.001,0,TREND(OFFSET(V$13,MATCH(V39,V$14:V$20),1,2,1),OFFSET(V$13,MATCH(V39,V$14:V$20),0,2,1),V39))</f>
        <v>#N/A</v>
      </c>
      <c r="Y53" s="37" t="e">
        <f t="shared" ca="1" si="6"/>
        <v>#N/A</v>
      </c>
      <c r="AA53" s="37" t="e">
        <f t="shared" ref="AA53" ca="1" si="49">IF(TREND(OFFSET(Z$13,MATCH(Z39,Z$14:Z$20),1,2,1),OFFSET(Z$13,MATCH(Z39,Z$14:Z$20),0,2,1),Z39)&lt;0.001,0,TREND(OFFSET(Z$13,MATCH(Z39,Z$14:Z$20),1,2,1),OFFSET(Z$13,MATCH(Z39,Z$14:Z$20),0,2,1),Z39))</f>
        <v>#N/A</v>
      </c>
      <c r="AC53" s="37" t="e">
        <f t="shared" ca="1" si="7"/>
        <v>#N/A</v>
      </c>
      <c r="AE53" s="37" t="e">
        <f t="shared" si="8"/>
        <v>#REF!</v>
      </c>
      <c r="AG53" s="37" t="e">
        <f t="shared" ca="1" si="9"/>
        <v>#N/A</v>
      </c>
    </row>
    <row r="54" spans="1:49" ht="15" x14ac:dyDescent="0.2">
      <c r="A54" s="17" t="str">
        <f t="shared" si="1"/>
        <v>D</v>
      </c>
      <c r="C54" s="37" t="e">
        <f t="shared" ca="1" si="2"/>
        <v>#N/A</v>
      </c>
      <c r="E54" s="37" t="e">
        <f t="shared" ref="E54" ca="1" si="50">IF(TREND(OFFSET(D$13,MATCH(D40,D$14:D$20),1,2,1),OFFSET(D$13,MATCH(D40,D$14:D$20),0,2,1),D40)&lt;0.001,0,TREND(OFFSET(D$13,MATCH(D40,D$14:D$20),1,2,1),OFFSET(D$13,MATCH(D40,D$14:D$20),0,2,1),D40))</f>
        <v>#N/A</v>
      </c>
      <c r="G54" s="37" t="e">
        <f t="shared" si="27"/>
        <v>#N/A</v>
      </c>
      <c r="I54" s="37" t="e">
        <f t="shared" ref="I54" ca="1" si="51">IF(TREND(OFFSET(H$13,MATCH(H40,H$14:H$20),1,2,1),OFFSET(H$13,MATCH(H40,H$14:H$20),0,2,1),H40)&lt;0.001,0,TREND(OFFSET(H$13,MATCH(H40,H$14:H$20),1,2,1),OFFSET(H$13,MATCH(H40,H$14:H$20),0,2,1),H40))</f>
        <v>#N/A</v>
      </c>
      <c r="K54" s="37">
        <f t="shared" ca="1" si="3"/>
        <v>0</v>
      </c>
      <c r="L54" s="102"/>
      <c r="M54" s="37" t="e">
        <f t="shared" ref="M54" ca="1" si="52">IF(TREND(OFFSET(L$13,MATCH(L40,L$14:L$20),1,2,1),OFFSET(L$13,MATCH(L40,L$14:L$20),0,2,1),L40)&lt;0.001,0,TREND(OFFSET(L$13,MATCH(L40,L$14:L$20),1,2,1),OFFSET(L$13,MATCH(L40,L$14:L$20),0,2,1),L40))</f>
        <v>#N/A</v>
      </c>
      <c r="O54" s="37" t="e">
        <f t="shared" ref="O54" ca="1" si="53">IF(TREND(OFFSET(N$13,MATCH(N40,N$14:N$20),1,2,1),OFFSET(N$13,MATCH(N40,N$14:N$20),0,2,1),N40)&lt;0.001,0,TREND(OFFSET(N$13,MATCH(N40,N$14:N$20),1,2,1),OFFSET(N$13,MATCH(N40,N$14:N$20),0,2,1),N40))</f>
        <v>#N/A</v>
      </c>
      <c r="Q54" s="37" t="e">
        <f t="shared" ref="Q54" ca="1" si="54">IF(TREND(OFFSET(P$13,MATCH(P40,P$14:P$20),1,2,1),OFFSET(P$13,MATCH(P40,P$14:P$20),0,2,1),P40)&lt;0.001,0,TREND(OFFSET(P$13,MATCH(P40,P$14:P$20),1,2,1),OFFSET(P$13,MATCH(P40,P$14:P$20),0,2,1),P40))</f>
        <v>#N/A</v>
      </c>
      <c r="S54" s="37" t="e">
        <f t="shared" si="4"/>
        <v>#N/A</v>
      </c>
      <c r="U54" s="37" t="e">
        <f t="shared" ref="U54" ca="1" si="55">IF(TREND(OFFSET(T$13,MATCH(T40,T$14:T$20),1,2,1),OFFSET(T$13,MATCH(T40,T$14:T$20),0,2,1),T40)&lt;0.001,0,TREND(OFFSET(T$13,MATCH(T40,T$14:T$20),1,2,1),OFFSET(T$13,MATCH(T40,T$14:T$20),0,2,1),T40))</f>
        <v>#N/A</v>
      </c>
      <c r="W54" s="37" t="e">
        <f t="shared" ref="W54" ca="1" si="56">IF(TREND(OFFSET(V$13,MATCH(V40,V$14:V$20),1,2,1),OFFSET(V$13,MATCH(V40,V$14:V$20),0,2,1),V40)&lt;0.001,0,TREND(OFFSET(V$13,MATCH(V40,V$14:V$20),1,2,1),OFFSET(V$13,MATCH(V40,V$14:V$20),0,2,1),V40))</f>
        <v>#N/A</v>
      </c>
      <c r="Y54" s="37" t="e">
        <f t="shared" ca="1" si="6"/>
        <v>#N/A</v>
      </c>
      <c r="AA54" s="37" t="e">
        <f t="shared" ref="AA54" ca="1" si="57">IF(TREND(OFFSET(Z$13,MATCH(Z40,Z$14:Z$20),1,2,1),OFFSET(Z$13,MATCH(Z40,Z$14:Z$20),0,2,1),Z40)&lt;0.001,0,TREND(OFFSET(Z$13,MATCH(Z40,Z$14:Z$20),1,2,1),OFFSET(Z$13,MATCH(Z40,Z$14:Z$20),0,2,1),Z40))</f>
        <v>#N/A</v>
      </c>
      <c r="AC54" s="37" t="e">
        <f t="shared" si="7"/>
        <v>#N/A</v>
      </c>
      <c r="AE54" s="37" t="e">
        <f t="shared" si="8"/>
        <v>#REF!</v>
      </c>
      <c r="AG54" s="37" t="e">
        <f t="shared" si="9"/>
        <v>#N/A</v>
      </c>
    </row>
    <row r="55" spans="1:49" ht="15" x14ac:dyDescent="0.2">
      <c r="A55" s="17">
        <f t="shared" si="1"/>
        <v>0</v>
      </c>
      <c r="C55" s="37" t="e">
        <f t="shared" ca="1" si="2"/>
        <v>#N/A</v>
      </c>
      <c r="E55" s="37" t="e">
        <f t="shared" ref="E55" ca="1" si="58">IF(TREND(OFFSET(D$13,MATCH(D41,D$14:D$20),1,2,1),OFFSET(D$13,MATCH(D41,D$14:D$20),0,2,1),D41)&lt;0.001,0,TREND(OFFSET(D$13,MATCH(D41,D$14:D$20),1,2,1),OFFSET(D$13,MATCH(D41,D$14:D$20),0,2,1),D41))</f>
        <v>#N/A</v>
      </c>
      <c r="G55" s="37" t="e">
        <f t="shared" si="27"/>
        <v>#N/A</v>
      </c>
      <c r="I55" s="37" t="e">
        <f t="shared" ref="I55" ca="1" si="59">IF(TREND(OFFSET(H$13,MATCH(H41,H$14:H$20),1,2,1),OFFSET(H$13,MATCH(H41,H$14:H$20),0,2,1),H41)&lt;0.001,0,TREND(OFFSET(H$13,MATCH(H41,H$14:H$20),1,2,1),OFFSET(H$13,MATCH(H41,H$14:H$20),0,2,1),H41))</f>
        <v>#N/A</v>
      </c>
      <c r="K55" s="37">
        <f t="shared" ca="1" si="3"/>
        <v>0</v>
      </c>
      <c r="L55" s="102"/>
      <c r="M55" s="37" t="e">
        <f t="shared" ref="M55" ca="1" si="60">IF(TREND(OFFSET(L$13,MATCH(L41,L$14:L$20),1,2,1),OFFSET(L$13,MATCH(L41,L$14:L$20),0,2,1),L41)&lt;0.001,0,TREND(OFFSET(L$13,MATCH(L41,L$14:L$20),1,2,1),OFFSET(L$13,MATCH(L41,L$14:L$20),0,2,1),L41))</f>
        <v>#N/A</v>
      </c>
      <c r="O55" s="37" t="e">
        <f t="shared" ref="O55" ca="1" si="61">IF(TREND(OFFSET(N$13,MATCH(N41,N$14:N$20),1,2,1),OFFSET(N$13,MATCH(N41,N$14:N$20),0,2,1),N41)&lt;0.001,0,TREND(OFFSET(N$13,MATCH(N41,N$14:N$20),1,2,1),OFFSET(N$13,MATCH(N41,N$14:N$20),0,2,1),N41))</f>
        <v>#N/A</v>
      </c>
      <c r="Q55" s="37" t="e">
        <f t="shared" ref="Q55" ca="1" si="62">IF(TREND(OFFSET(P$13,MATCH(P41,P$14:P$20),1,2,1),OFFSET(P$13,MATCH(P41,P$14:P$20),0,2,1),P41)&lt;0.001,0,TREND(OFFSET(P$13,MATCH(P41,P$14:P$20),1,2,1),OFFSET(P$13,MATCH(P41,P$14:P$20),0,2,1),P41))</f>
        <v>#N/A</v>
      </c>
      <c r="S55" s="37" t="e">
        <f t="shared" ca="1" si="4"/>
        <v>#N/A</v>
      </c>
      <c r="U55" s="37" t="e">
        <f t="shared" ref="U55" ca="1" si="63">IF(TREND(OFFSET(T$13,MATCH(T41,T$14:T$20),1,2,1),OFFSET(T$13,MATCH(T41,T$14:T$20),0,2,1),T41)&lt;0.001,0,TREND(OFFSET(T$13,MATCH(T41,T$14:T$20),1,2,1),OFFSET(T$13,MATCH(T41,T$14:T$20),0,2,1),T41))</f>
        <v>#N/A</v>
      </c>
      <c r="W55" s="37" t="e">
        <f t="shared" ref="W55" ca="1" si="64">IF(TREND(OFFSET(V$13,MATCH(V41,V$14:V$20),1,2,1),OFFSET(V$13,MATCH(V41,V$14:V$20),0,2,1),V41)&lt;0.001,0,TREND(OFFSET(V$13,MATCH(V41,V$14:V$20),1,2,1),OFFSET(V$13,MATCH(V41,V$14:V$20),0,2,1),V41))</f>
        <v>#N/A</v>
      </c>
      <c r="Y55" s="37" t="e">
        <f t="shared" ca="1" si="6"/>
        <v>#N/A</v>
      </c>
      <c r="AA55" s="37" t="e">
        <f t="shared" ref="AA55" ca="1" si="65">IF(TREND(OFFSET(Z$13,MATCH(Z41,Z$14:Z$20),1,2,1),OFFSET(Z$13,MATCH(Z41,Z$14:Z$20),0,2,1),Z41)&lt;0.001,0,TREND(OFFSET(Z$13,MATCH(Z41,Z$14:Z$20),1,2,1),OFFSET(Z$13,MATCH(Z41,Z$14:Z$20),0,2,1),Z41))</f>
        <v>#N/A</v>
      </c>
      <c r="AC55" s="37" t="e">
        <f t="shared" ca="1" si="7"/>
        <v>#N/A</v>
      </c>
      <c r="AE55" s="37" t="e">
        <f t="shared" si="8"/>
        <v>#REF!</v>
      </c>
      <c r="AG55" s="37" t="e">
        <f t="shared" ca="1" si="9"/>
        <v>#N/A</v>
      </c>
    </row>
    <row r="56" spans="1:49" ht="15" x14ac:dyDescent="0.2">
      <c r="A56" s="17" t="str">
        <f t="shared" si="1"/>
        <v>E</v>
      </c>
      <c r="C56" s="37" t="e">
        <f t="shared" ca="1" si="2"/>
        <v>#N/A</v>
      </c>
      <c r="E56" s="37" t="e">
        <f ca="1">IF(TREND(OFFSET(D$13,MATCH(D42,D$14:D$20),1,2,1),OFFSET(D$13,MATCH(D42,D$14:D$20),0,2,1),D42)&lt;0.001,0,TREND(OFFSET(D$13,MATCH(D42,D$14:D$20),1,2,1),OFFSET(D$13,MATCH(D42,D$14:D$20),0,2,1),D42))</f>
        <v>#N/A</v>
      </c>
      <c r="G56" s="37" t="e">
        <f t="shared" si="27"/>
        <v>#N/A</v>
      </c>
      <c r="I56" s="37" t="e">
        <f t="shared" ref="I56" ca="1" si="66">IF(TREND(OFFSET(H$13,MATCH(H42,H$14:H$20),1,2,1),OFFSET(H$13,MATCH(H42,H$14:H$20),0,2,1),H42)&lt;0.001,0,TREND(OFFSET(H$13,MATCH(H42,H$14:H$20),1,2,1),OFFSET(H$13,MATCH(H42,H$14:H$20),0,2,1),H42))</f>
        <v>#N/A</v>
      </c>
      <c r="K56" s="37">
        <f t="shared" ca="1" si="3"/>
        <v>0</v>
      </c>
      <c r="L56" s="102"/>
      <c r="M56" s="37" t="e">
        <f t="shared" ref="M56" ca="1" si="67">IF(TREND(OFFSET(L$13,MATCH(L42,L$14:L$20),1,2,1),OFFSET(L$13,MATCH(L42,L$14:L$20),0,2,1),L42)&lt;0.001,0,TREND(OFFSET(L$13,MATCH(L42,L$14:L$20),1,2,1),OFFSET(L$13,MATCH(L42,L$14:L$20),0,2,1),L42))</f>
        <v>#N/A</v>
      </c>
      <c r="O56" s="37" t="e">
        <f t="shared" ref="O56" ca="1" si="68">IF(TREND(OFFSET(N$13,MATCH(N42,N$14:N$20),1,2,1),OFFSET(N$13,MATCH(N42,N$14:N$20),0,2,1),N42)&lt;0.001,0,TREND(OFFSET(N$13,MATCH(N42,N$14:N$20),1,2,1),OFFSET(N$13,MATCH(N42,N$14:N$20),0,2,1),N42))</f>
        <v>#N/A</v>
      </c>
      <c r="Q56" s="37" t="e">
        <f t="shared" ref="Q56" ca="1" si="69">IF(TREND(OFFSET(P$13,MATCH(P42,P$14:P$20),1,2,1),OFFSET(P$13,MATCH(P42,P$14:P$20),0,2,1),P42)&lt;0.001,0,TREND(OFFSET(P$13,MATCH(P42,P$14:P$20),1,2,1),OFFSET(P$13,MATCH(P42,P$14:P$20),0,2,1),P42))</f>
        <v>#N/A</v>
      </c>
      <c r="S56" s="37" t="e">
        <f t="shared" si="4"/>
        <v>#N/A</v>
      </c>
      <c r="U56" s="37" t="e">
        <f t="shared" ref="U56" ca="1" si="70">IF(TREND(OFFSET(T$13,MATCH(T42,T$14:T$20),1,2,1),OFFSET(T$13,MATCH(T42,T$14:T$20),0,2,1),T42)&lt;0.001,0,TREND(OFFSET(T$13,MATCH(T42,T$14:T$20),1,2,1),OFFSET(T$13,MATCH(T42,T$14:T$20),0,2,1),T42))</f>
        <v>#N/A</v>
      </c>
      <c r="W56" s="37" t="e">
        <f t="shared" ref="W56" ca="1" si="71">IF(TREND(OFFSET(V$13,MATCH(V42,V$14:V$20),1,2,1),OFFSET(V$13,MATCH(V42,V$14:V$20),0,2,1),V42)&lt;0.001,0,TREND(OFFSET(V$13,MATCH(V42,V$14:V$20),1,2,1),OFFSET(V$13,MATCH(V42,V$14:V$20),0,2,1),V42))</f>
        <v>#N/A</v>
      </c>
      <c r="Y56" s="37" t="e">
        <f t="shared" ca="1" si="6"/>
        <v>#N/A</v>
      </c>
      <c r="AA56" s="37" t="e">
        <f t="shared" ref="AA56" ca="1" si="72">IF(TREND(OFFSET(Z$13,MATCH(Z42,Z$14:Z$20),1,2,1),OFFSET(Z$13,MATCH(Z42,Z$14:Z$20),0,2,1),Z42)&lt;0.001,0,TREND(OFFSET(Z$13,MATCH(Z42,Z$14:Z$20),1,2,1),OFFSET(Z$13,MATCH(Z42,Z$14:Z$20),0,2,1),Z42))</f>
        <v>#N/A</v>
      </c>
      <c r="AC56" s="37" t="e">
        <f t="shared" si="7"/>
        <v>#N/A</v>
      </c>
      <c r="AE56" s="37" t="e">
        <f t="shared" si="8"/>
        <v>#REF!</v>
      </c>
      <c r="AG56" s="37" t="e">
        <f t="shared" si="9"/>
        <v>#N/A</v>
      </c>
    </row>
    <row r="57" spans="1:49" ht="15" x14ac:dyDescent="0.2">
      <c r="A57" s="17">
        <f t="shared" si="1"/>
        <v>0</v>
      </c>
      <c r="C57" s="37" t="e">
        <f ca="1">IF(TREND(OFFSET(B$13,MATCH(B43,B$14:B$20),1,2,1),OFFSET(B$13,MATCH(B43,B$14:B$20),0,2,1),B43)&lt;0.001,0,TREND(OFFSET(B$13,MATCH(B43,B$14:B$20),1,2,1),OFFSET(B$13,MATCH(B43,B$14:B$20),0,2,1),B43))</f>
        <v>#N/A</v>
      </c>
      <c r="E57" s="37" t="e">
        <f t="shared" ref="E57" ca="1" si="73">IF(TREND(OFFSET(D$13,MATCH(D43,D$14:D$20),1,2,1),OFFSET(D$13,MATCH(D43,D$14:D$20),0,2,1),D43)&lt;0.001,0,TREND(OFFSET(D$13,MATCH(D43,D$14:D$20),1,2,1),OFFSET(D$13,MATCH(D43,D$14:D$20),0,2,1),D43))</f>
        <v>#N/A</v>
      </c>
      <c r="G57" s="37" t="e">
        <f t="shared" si="27"/>
        <v>#N/A</v>
      </c>
      <c r="I57" s="37" t="e">
        <f ca="1">IF(TREND(OFFSET(H$13,MATCH(H43,H$14:H$20),1,2,1),OFFSET(H$13,MATCH(H43,H$14:H$20),0,2,1),H43)&lt;0.001,0,TREND(OFFSET(H$13,MATCH(H43,H$14:H$20),1,2,1),OFFSET(H$13,MATCH(H43,H$14:H$20),0,2,1),H43))</f>
        <v>#N/A</v>
      </c>
      <c r="K57" s="37">
        <f ca="1">IF(TREND(OFFSET(J$13,MATCH(J43,J$14:J$20),1,2,1),OFFSET(J$13,MATCH(J43,J$14:J$20),0,2,1),J43)&lt;0.001,0,TREND(OFFSET(J$13,MATCH(J43,J$14:J$20),1,2,1),OFFSET(J$13,MATCH(J43,J$14:J$20),0,2,1),J43))</f>
        <v>0</v>
      </c>
      <c r="L57" s="102"/>
      <c r="M57" s="37" t="e">
        <f ca="1">IF(TREND(OFFSET(L$13,MATCH(L43,L$14:L$20),1,2,1),OFFSET(L$13,MATCH(L43,L$14:L$20),0,2,1),L43)&lt;0.001,0,TREND(OFFSET(L$13,MATCH(L43,L$14:L$20),1,2,1),OFFSET(L$13,MATCH(L43,L$14:L$20),0,2,1),L43))</f>
        <v>#N/A</v>
      </c>
      <c r="O57" s="37" t="e">
        <f ca="1">IF(TREND(OFFSET(N$13,MATCH(N43,N$14:N$20),1,2,1),OFFSET(N$13,MATCH(N43,N$14:N$20),0,2,1),N43)&lt;0.001,0,TREND(OFFSET(N$13,MATCH(N43,N$14:N$20),1,2,1),OFFSET(N$13,MATCH(N43,N$14:N$20),0,2,1),N43))</f>
        <v>#N/A</v>
      </c>
      <c r="Q57" s="37" t="e">
        <f ca="1">IF(TREND(OFFSET(P$13,MATCH(P43,P$14:P$20),1,2,1),OFFSET(P$13,MATCH(P43,P$14:P$20),0,2,1),P43)&lt;0.001,0,TREND(OFFSET(P$13,MATCH(P43,P$14:P$20),1,2,1),OFFSET(P$13,MATCH(P43,P$14:P$20),0,2,1),P43))</f>
        <v>#N/A</v>
      </c>
      <c r="S57" s="37" t="e">
        <f t="shared" ca="1" si="4"/>
        <v>#N/A</v>
      </c>
      <c r="U57" s="37" t="e">
        <f ca="1">IF(TREND(OFFSET(T$13,MATCH(T43,T$14:T$20),1,2,1),OFFSET(T$13,MATCH(T43,T$14:T$20),0,2,1),T43)&lt;0.001,0,TREND(OFFSET(T$13,MATCH(T43,T$14:T$20),1,2,1),OFFSET(T$13,MATCH(T43,T$14:T$20),0,2,1),T43))</f>
        <v>#N/A</v>
      </c>
      <c r="W57" s="37" t="e">
        <f ca="1">IF(TREND(OFFSET(V$13,MATCH(V43,V$14:V$20),1,2,1),OFFSET(V$13,MATCH(V43,V$14:V$20),0,2,1),V43)&lt;0.001,0,TREND(OFFSET(V$13,MATCH(V43,V$14:V$20),1,2,1),OFFSET(V$13,MATCH(V43,V$14:V$20),0,2,1),V43))</f>
        <v>#N/A</v>
      </c>
      <c r="Y57" s="37" t="e">
        <f t="shared" ca="1" si="6"/>
        <v>#N/A</v>
      </c>
      <c r="AA57" s="37" t="e">
        <f ca="1">IF(TREND(OFFSET(Z$13,MATCH(Z43,Z$14:Z$20),1,2,1),OFFSET(Z$13,MATCH(Z43,Z$14:Z$20),0,2,1),Z43)&lt;0.001,0,TREND(OFFSET(Z$13,MATCH(Z43,Z$14:Z$20),1,2,1),OFFSET(Z$13,MATCH(Z43,Z$14:Z$20),0,2,1),Z43))</f>
        <v>#N/A</v>
      </c>
      <c r="AC57" s="37" t="e">
        <f ca="1">LOOKUP(AB43,$AB$14:$AB$20,$AC$14:$AC$20)</f>
        <v>#N/A</v>
      </c>
      <c r="AE57" s="37" t="e">
        <f>LOOKUP(AD43,$AD$14:$AD$20,$AE$14:$AE$20)</f>
        <v>#REF!</v>
      </c>
      <c r="AG57" s="37" t="e">
        <f ca="1">LOOKUP(AF43,$AF$14:$AF$20,$AG$14:$AG$20)</f>
        <v>#N/A</v>
      </c>
    </row>
    <row r="58" spans="1:49" ht="15" x14ac:dyDescent="0.2">
      <c r="A58" s="17" t="str">
        <f t="shared" ref="A58" si="74">A45</f>
        <v>Best</v>
      </c>
      <c r="C58" s="37" t="e">
        <f t="shared" ref="C58" ca="1" si="75">IF(TREND(OFFSET(B$13,MATCH(B45,B$14:B$20),1,2,1),OFFSET(B$13,MATCH(B45,B$14:B$20),0,2,1),B45)&lt;0.001,0,TREND(OFFSET(B$13,MATCH(B45,B$14:B$20),1,2,1),OFFSET(B$13,MATCH(B45,B$14:B$20),0,2,1),B45))</f>
        <v>#N/A</v>
      </c>
      <c r="E58" s="37" t="e">
        <f ca="1">IF(TREND(OFFSET(D$13,MATCH(D45,D$14:D$20),1,2,1),OFFSET(D$13,MATCH(D45,D$14:D$20),0,2,1),D45)&lt;0.001,0,TREND(OFFSET(D$13,MATCH(D45,D$14:D$20),1,2,1),OFFSET(D$13,MATCH(D45,D$14:D$20),0,2,1),D45))</f>
        <v>#N/A</v>
      </c>
      <c r="G58" s="37">
        <f>VLOOKUP(F44,$F$14:$G$17,2)</f>
        <v>5</v>
      </c>
      <c r="I58" s="37">
        <f ca="1">IF(TREND(OFFSET(H$13,MATCH(H45,H$14:H$20),1,2,1),OFFSET(H$13,MATCH(H45,H$14:H$20),0,2,1),H45)&lt;0.001,0,TREND(OFFSET(H$13,MATCH(H45,H$14:H$20),1,2,1),OFFSET(H$13,MATCH(H45,H$14:H$20),0,2,1),H45))</f>
        <v>10</v>
      </c>
      <c r="K58" s="37">
        <f ca="1">IF(TREND(OFFSET(J$13,MATCH(J45,J$14:J$20),1,2,1),OFFSET(J$13,MATCH(J45,J$14:J$20),0,2,1),J45)&lt;0.001,0,TREND(OFFSET(J$13,MATCH(J45,J$14:J$20),1,2,1),OFFSET(J$13,MATCH(J45,J$14:J$20),0,2,1),J45))</f>
        <v>5.5749999999999993</v>
      </c>
      <c r="L58" s="102"/>
      <c r="M58" s="37" t="e">
        <f ca="1">IF(TREND(OFFSET(L$13,MATCH(L45,L$14:L$20),1,2,1),OFFSET(L$13,MATCH(L45,L$14:L$20),0,2,1),L45)&lt;0.001,0,TREND(OFFSET(L$13,MATCH(L45,L$14:L$20),1,2,1),OFFSET(L$13,MATCH(L45,L$14:L$20),0,2,1),L45))</f>
        <v>#N/A</v>
      </c>
      <c r="O58" s="37" t="e">
        <f ca="1">IF(TREND(OFFSET(N$13,MATCH(N45,N$14:N$20),1,2,1),OFFSET(N$13,MATCH(N45,N$14:N$20),0,2,1),N45)&lt;0.001,0,TREND(OFFSET(N$13,MATCH(N45,N$14:N$20),1,2,1),OFFSET(N$13,MATCH(N45,N$14:N$20),0,2,1),N45))</f>
        <v>#N/A</v>
      </c>
      <c r="Q58" s="37" t="e">
        <f t="shared" ref="Q58" ca="1" si="76">IF(TREND(OFFSET(P$13,MATCH(P45,P$14:P$20),1,2,1),OFFSET(P$13,MATCH(P45,P$14:P$20),0,2,1),P45)&lt;0.001,0,TREND(OFFSET(P$13,MATCH(P45,P$14:P$20),1,2,1),OFFSET(P$13,MATCH(P45,P$14:P$20),0,2,1),P45))</f>
        <v>#N/A</v>
      </c>
      <c r="S58" s="37" t="e">
        <f t="shared" si="4"/>
        <v>#N/A</v>
      </c>
      <c r="U58" s="37" t="e">
        <f t="shared" ref="U58" ca="1" si="77">IF(TREND(OFFSET(T$13,MATCH(T45,T$14:T$20),1,2,1),OFFSET(T$13,MATCH(T45,T$14:T$20),0,2,1),T45)&lt;0.001,0,TREND(OFFSET(T$13,MATCH(T45,T$14:T$20),1,2,1),OFFSET(T$13,MATCH(T45,T$14:T$20),0,2,1),T45))</f>
        <v>#N/A</v>
      </c>
      <c r="W58" s="37" t="e">
        <f t="shared" ref="W58" ca="1" si="78">IF(TREND(OFFSET(V$13,MATCH(V45,V$14:V$20),1,2,1),OFFSET(V$13,MATCH(V45,V$14:V$20),0,2,1),V45)&lt;0.001,0,TREND(OFFSET(V$13,MATCH(V45,V$14:V$20),1,2,1),OFFSET(V$13,MATCH(V45,V$14:V$20),0,2,1),V45))</f>
        <v>#N/A</v>
      </c>
      <c r="Y58" s="37" t="e">
        <f ca="1">IF(TREND(OFFSET(X$13,MATCH(X45,X$14:X$20),1,2,1),OFFSET(X$13,MATCH(X45,X$14:X$20),0,2,1),X45)&lt;0.001,0,TREND(OFFSET(X$13,MATCH(X45,X$14:X$20),1,2,1),OFFSET(X$13,MATCH(X45,X$14:X$20),0,2,1),X45))</f>
        <v>#N/A</v>
      </c>
      <c r="AA58" s="37">
        <f t="shared" ref="AA58" ca="1" si="79">IF(TREND(OFFSET(Z$13,MATCH(Z45,Z$14:Z$20),1,2,1),OFFSET(Z$13,MATCH(Z45,Z$14:Z$20),0,2,1),Z45)&lt;0.001,0,TREND(OFFSET(Z$13,MATCH(Z45,Z$14:Z$20),1,2,1),OFFSET(Z$13,MATCH(Z45,Z$14:Z$20),0,2,1),Z45))</f>
        <v>10</v>
      </c>
      <c r="AC58" s="37">
        <f t="shared" ref="AC58" si="80">LOOKUP(AB45,$AB$14:$AB$20,$AC$14:$AC$20)</f>
        <v>10</v>
      </c>
      <c r="AE58" s="37">
        <f t="shared" ref="AE58" si="81">LOOKUP(AD45,$AD$14:$AD$20,$AE$14:$AE$20)</f>
        <v>10</v>
      </c>
      <c r="AG58" s="37">
        <f t="shared" ref="AG58:AG59" si="82">LOOKUP(AF45,$AF$14:$AF$20,$AG$14:$AG$20)</f>
        <v>10</v>
      </c>
      <c r="AI58" s="81" t="e">
        <f ca="1">SUM(D58:AH58)</f>
        <v>#N/A</v>
      </c>
    </row>
    <row r="59" spans="1:49" ht="15" x14ac:dyDescent="0.2">
      <c r="A59" s="11" t="s">
        <v>118</v>
      </c>
      <c r="C59" s="127">
        <f ca="1">IF(TREND(OFFSET(B$13,MATCH(B44,B$14:B$20),1,2,1),OFFSET(B$13,MATCH(B44,B$14:B$20),0,2,1),B44)&lt;0.001,0,TREND(OFFSET(B$13,MATCH(B44,B$14:B$20),1,2,1),OFFSET(B$13,MATCH(B44,B$14:B$20),0,2,1),B44))</f>
        <v>3.6000000000000014</v>
      </c>
      <c r="E59" s="114">
        <f ca="1">IF(TREND(OFFSET(D$13,MATCH(D44,D$14:D$20),1,2,1),OFFSET(D$13,MATCH(D44,D$14:D$20),0,2,1),D44)&lt;0.001,0,TREND(OFFSET(D$13,MATCH(D44,D$14:D$20),1,2,1),OFFSET(D$13,MATCH(D44,D$14:D$20),0,2,1),D44))</f>
        <v>5.8650000000000002</v>
      </c>
      <c r="G59" s="37">
        <f t="shared" si="27"/>
        <v>10</v>
      </c>
      <c r="I59" s="114">
        <f ca="1">IF(TREND(OFFSET(H$13,MATCH(H44,H$14:H$20),1,2,1),OFFSET(H$13,MATCH(H44,H$14:H$20),0,2,1),H44)&lt;0.001,0,TREND(OFFSET(H$13,MATCH(H44,H$14:H$20),1,2,1),OFFSET(H$13,MATCH(H44,H$14:H$20),0,2,1),H44))</f>
        <v>3.5224999999999991</v>
      </c>
      <c r="K59" s="114">
        <f ca="1">IF(TREND(OFFSET(J$13,MATCH(J44,J$14:J$20),1,2,1),OFFSET(J$13,MATCH(J44,J$14:J$20),0,2,1),J44)&lt;0.001,0,TREND(OFFSET(J$13,MATCH(J44,J$14:J$20),1,2,1),OFFSET(J$13,MATCH(J44,J$14:J$20),0,2,1),J44))</f>
        <v>6.2749999999999986</v>
      </c>
      <c r="M59" s="13">
        <f ca="1">IF(TREND(OFFSET(L$13,MATCH(L44,L$14:L$20),1,2,1),OFFSET(L$13,MATCH(L44,L$14:L$20),0,2,1),L44)&lt;0.001,0,TREND(OFFSET(L$13,MATCH(L44,L$14:L$20),1,2,1),OFFSET(L$13,MATCH(L44,L$14:L$20),0,2,1),L44))</f>
        <v>7.4000000000000057</v>
      </c>
      <c r="O59" s="114">
        <f ca="1">IF(TREND(OFFSET(N$13,MATCH(N44,N$14:N$20),1,2,1),OFFSET(N$13,MATCH(N44,N$14:N$20),0,2,1),N44)&lt;0.001,0,TREND(OFFSET(N$13,MATCH(N44,N$14:N$20),1,2,1),OFFSET(N$13,MATCH(N44,N$14:N$20),0,2,1),N44))</f>
        <v>0.79999999999999716</v>
      </c>
      <c r="Q59" s="114">
        <f ca="1">IF(TREND(OFFSET(P$13,MATCH(P44,P$14:P$20),1,2,1),OFFSET(P$13,MATCH(P44,P$14:P$20),0,2,1),P44)&lt;0.001,0,TREND(OFFSET(P$13,MATCH(P44,P$14:P$20),1,2,1),OFFSET(P$13,MATCH(P44,P$14:P$20),0,2,1),P44))</f>
        <v>8</v>
      </c>
      <c r="S59" s="37">
        <f>VLOOKUP(R45,$R$14:$S$16,2)</f>
        <v>10</v>
      </c>
      <c r="U59" s="114">
        <f ca="1">IF(TREND(OFFSET(T$13,MATCH(T44,T$14:T$20),1,2,1),OFFSET(T$13,MATCH(T44,T$14:T$20),0,2,1),T44)&lt;0.001,0,TREND(OFFSET(T$13,MATCH(T44,T$14:T$20),1,2,1),OFFSET(T$13,MATCH(T44,T$14:T$20),0,2,1),T44))</f>
        <v>6.7900000000000027</v>
      </c>
      <c r="W59" s="114">
        <f ca="1">IF(TREND(OFFSET(V$13,MATCH(V44,V$14:V$20),1,2,1),OFFSET(V$13,MATCH(V44,V$14:V$20),0,2,1),V44)&lt;0.001,0,TREND(OFFSET(V$13,MATCH(V44,V$14:V$20),1,2,1),OFFSET(V$13,MATCH(V44,V$14:V$20),0,2,1),V44))</f>
        <v>0</v>
      </c>
      <c r="Y59" s="114">
        <f ca="1">IF(TREND(OFFSET(X$13,MATCH(X44,X$14:X$20),1,2,1),OFFSET(X$13,MATCH(X44,X$14:X$20),0,2,1),X44)&lt;0.001,0,TREND(OFFSET(X$13,MATCH(X44,X$14:X$20),1,2,1),OFFSET(X$13,MATCH(X44,X$14:X$20),0,2,1),X44))</f>
        <v>0</v>
      </c>
      <c r="AA59" s="114">
        <f ca="1">IF(TREND(OFFSET(Z$13,MATCH(Z44,Z$14:Z$20),1,2,1),OFFSET(Z$13,MATCH(Z44,Z$14:Z$20),0,2,1),Z44)&lt;0.001,0,TREND(OFFSET(Z$13,MATCH(Z44,Z$14:Z$20),1,2,1),OFFSET(Z$13,MATCH(Z44,Z$14:Z$20),0,2,1),Z44))</f>
        <v>10</v>
      </c>
      <c r="AC59" s="114">
        <f>LOOKUP(AB44,$AB$14:$AB$20,$AC$14:$AC$20)</f>
        <v>10</v>
      </c>
      <c r="AE59" s="114">
        <f>LOOKUP(AD44,$AD$14:$AD$20,$AE$14:$AE$20)</f>
        <v>10</v>
      </c>
      <c r="AG59" s="37">
        <f t="shared" si="82"/>
        <v>10</v>
      </c>
    </row>
    <row r="60" spans="1:49" ht="15" x14ac:dyDescent="0.25">
      <c r="A60" s="91" t="s">
        <v>6</v>
      </c>
      <c r="C60" s="14">
        <f>C12</f>
        <v>0.41666666666666669</v>
      </c>
      <c r="E60" s="14">
        <f>E12</f>
        <v>0.16666666666666666</v>
      </c>
      <c r="G60" s="14">
        <f>G12</f>
        <v>0.20833333333333334</v>
      </c>
      <c r="I60" s="14">
        <f>I12</f>
        <v>0.20833333333333334</v>
      </c>
      <c r="K60" s="14">
        <f>K12</f>
        <v>0.2</v>
      </c>
      <c r="M60" s="14">
        <f>M12</f>
        <v>0.08</v>
      </c>
      <c r="O60" s="23">
        <f>O12</f>
        <v>0.4</v>
      </c>
      <c r="Q60" s="14">
        <f>Q12</f>
        <v>0.32</v>
      </c>
      <c r="S60" s="29">
        <f>S12</f>
        <v>0.55555555555555558</v>
      </c>
      <c r="U60" s="29">
        <f>U12</f>
        <v>0.44444444444444442</v>
      </c>
      <c r="W60" s="29">
        <f>W12</f>
        <v>0.43478260869565216</v>
      </c>
      <c r="Y60" s="29">
        <f>Y12</f>
        <v>0.30434782608695654</v>
      </c>
      <c r="AA60" s="51">
        <f>AA12</f>
        <v>0.2608695652173913</v>
      </c>
      <c r="AC60" s="51">
        <f>AC12</f>
        <v>0.37777777777777777</v>
      </c>
      <c r="AE60" s="51">
        <f>AE12</f>
        <v>0.44444444444444442</v>
      </c>
      <c r="AG60" s="51">
        <f>AG12</f>
        <v>0.17777777777777778</v>
      </c>
      <c r="AI60" s="104" t="s">
        <v>115</v>
      </c>
    </row>
    <row r="61" spans="1:49" ht="15" x14ac:dyDescent="0.25">
      <c r="A61" s="91" t="s">
        <v>8</v>
      </c>
      <c r="C61" s="16">
        <f>C12*$F$4</f>
        <v>0.18115942028985507</v>
      </c>
      <c r="E61" s="16">
        <f>E12*$F$4</f>
        <v>7.2463768115942018E-2</v>
      </c>
      <c r="G61" s="16">
        <f>G12*$F$4</f>
        <v>9.0579710144927536E-2</v>
      </c>
      <c r="I61" s="16">
        <f>I12*$F$4</f>
        <v>9.0579710144927536E-2</v>
      </c>
      <c r="K61" s="79">
        <f>K12*N7*S4</f>
        <v>1.4906832298136646E-2</v>
      </c>
      <c r="M61" s="79">
        <f>M12*N7*S4</f>
        <v>5.9627329192546586E-3</v>
      </c>
      <c r="O61" s="79">
        <f>O12*N7*S4</f>
        <v>2.9813664596273291E-2</v>
      </c>
      <c r="Q61" s="79">
        <f>Q12*N7*S4</f>
        <v>2.3850931677018634E-2</v>
      </c>
      <c r="S61" s="77">
        <f>S12*T7*S4</f>
        <v>5.5210489993098681E-2</v>
      </c>
      <c r="U61" s="77">
        <f>U12*T7*S4</f>
        <v>4.4168391994478945E-2</v>
      </c>
      <c r="W61" s="77">
        <f>W12*Y7*S4</f>
        <v>7.5614366729678639E-2</v>
      </c>
      <c r="Y61" s="77">
        <f>Y12*Y7*S4</f>
        <v>5.2930056710775046E-2</v>
      </c>
      <c r="AA61" s="77">
        <f>AA12*Y7*S4</f>
        <v>4.5368620037807179E-2</v>
      </c>
      <c r="AC61" s="16">
        <f>AC12*AE4</f>
        <v>8.212560386473429E-2</v>
      </c>
      <c r="AE61" s="16">
        <f>AE12*AE4</f>
        <v>9.6618357487922704E-2</v>
      </c>
      <c r="AG61" s="16">
        <f>AG12*AE4</f>
        <v>3.864734299516908E-2</v>
      </c>
      <c r="AI61" s="105">
        <f>SUM(C61,E61,G61,I61,K61,M61,O61,Q61,S61,U61,W61,Y61,AA61,AC61,AE61,AG61)</f>
        <v>1</v>
      </c>
    </row>
    <row r="62" spans="1:49" ht="20.25" x14ac:dyDescent="0.3">
      <c r="A62" s="7" t="s">
        <v>120</v>
      </c>
      <c r="C62" s="2">
        <f ca="1">IF(TREND(OFFSET(B$13,MATCH(B46,B$14:B$20),1,2,1),OFFSET(B$13,MATCH(B46,B$14:B$20),0,2,1),B46)&lt;0.001,0,TREND(OFFSET(B$13,MATCH(B46,B$14:B$20),1,2,1),OFFSET(B$13,MATCH(B46,B$14:B$20),0,2,1),B46))</f>
        <v>6.2000000000000011</v>
      </c>
      <c r="E62" s="2">
        <f ca="1">IF(TREND(OFFSET(D$13,MATCH(D46,D$14:D$20),1,2,1),OFFSET(D$13,MATCH(D46,D$14:D$20),0,2,1),D46)&lt;0.001,0,TREND(OFFSET(D$13,MATCH(D46,D$14:D$20),1,2,1),OFFSET(D$13,MATCH(D46,D$14:D$20),0,2,1),D46))</f>
        <v>1.1999999999999993</v>
      </c>
      <c r="G62" s="2">
        <f>VLOOKUP(F46,$F$14:$G$17,2)</f>
        <v>9</v>
      </c>
      <c r="I62" s="2">
        <f ca="1">IF(TREND(OFFSET(H$13,MATCH(H46,H$14:H$20),1,2,1),OFFSET(H$13,MATCH(H46,H$14:H$20),0,2,1),H46)&lt;0.001,0,TREND(OFFSET(H$13,MATCH(H46,H$14:H$20),1,2,1),OFFSET(H$13,MATCH(H46,H$14:H$20),0,2,1),H46))</f>
        <v>10</v>
      </c>
      <c r="K62" s="78">
        <f ca="1">IF(TREND(OFFSET(J$13,MATCH(J46,J$14:J$20),1,2,1),OFFSET(J$13,MATCH(J46,J$14:J$20),0,2,1),J46)&lt;0.001,0,TREND(OFFSET(J$13,MATCH(J46,J$14:J$20),1,2,1),OFFSET(J$13,MATCH(J46,J$14:J$20),0,2,1),J46))</f>
        <v>1.2400000000000002</v>
      </c>
      <c r="M62" s="78">
        <f ca="1">IF(TREND(OFFSET(L$13,MATCH(L46,L$14:L$20),1,2,1),OFFSET(L$13,MATCH(L46,L$14:L$20),0,2,1),L46)&lt;0.001,0,TREND(OFFSET(L$13,MATCH(L46,L$14:L$20),1,2,1),OFFSET(L$13,MATCH(L46,L$14:L$20),0,2,1),L46))</f>
        <v>9</v>
      </c>
      <c r="O62" s="78">
        <f ca="1">IF(TREND(OFFSET(N$13,MATCH(N46,N$14:N$20),1,2,1),OFFSET(N$13,MATCH(N46,N$14:N$20),0,2,1),N46)&lt;0.001,0,TREND(OFFSET(N$13,MATCH(N46,N$14:N$20),1,2,1),OFFSET(N$13,MATCH(N46,N$14:N$20),0,2,1),N46))</f>
        <v>1.6000000000000014</v>
      </c>
      <c r="Q62" s="78">
        <f ca="1">IF(TREND(OFFSET(P$13,MATCH(P46,P$14:P$20),1,2,1),OFFSET(P$13,MATCH(P46,P$14:P$20),0,2,1),P46)&lt;0.001,0,TREND(OFFSET(P$13,MATCH(P46,P$14:P$20),1,2,1),OFFSET(P$13,MATCH(P46,P$14:P$20),0,2,1),P46))</f>
        <v>8</v>
      </c>
      <c r="S62" s="2">
        <f>VLOOKUP(R46,$R$14:$S$16,2)</f>
        <v>2</v>
      </c>
      <c r="U62" s="2">
        <f ca="1">IF(TREND(OFFSET(T$13,MATCH(T46,T$14:T$20),1,2,1),OFFSET(T$13,MATCH(T46,T$14:T$20),0,2,1),T46)&lt;0.001,0,TREND(OFFSET(T$13,MATCH(T46,T$14:T$20),1,2,1),OFFSET(T$13,MATCH(T46,T$14:T$20),0,2,1),T46))</f>
        <v>1.3333333333333321</v>
      </c>
      <c r="W62" s="2">
        <f ca="1">IF(TREND(OFFSET(V$13,MATCH(V46,V$14:V$20),1,2,1),OFFSET(V$13,MATCH(V46,V$14:V$20),0,2,1),V46)&lt;0.001,0,TREND(OFFSET(V$13,MATCH(V46,V$14:V$20),1,2,1),OFFSET(V$13,MATCH(V46,V$14:V$20),0,2,1),V46))</f>
        <v>4.7999999999999972</v>
      </c>
      <c r="Y62" s="2">
        <f ca="1">IF(TREND(OFFSET(X$13,MATCH(X46,X$14:X$20),1,2,1),OFFSET(X$13,MATCH(X46,X$14:X$20),0,2,1),X46)&lt;0.001,0,TREND(OFFSET(X$13,MATCH(X46,X$14:X$20),1,2,1),OFFSET(X$13,MATCH(X46,X$14:X$20),0,2,1),X46))</f>
        <v>10</v>
      </c>
      <c r="AA62" s="2">
        <f ca="1">IF(TREND(OFFSET(Z$13,MATCH(Z46,Z$14:Z$20),1,2,1),OFFSET(Z$13,MATCH(Z46,Z$14:Z$20),0,2,1),Z46)&lt;0.001,0,TREND(OFFSET(Z$13,MATCH(Z46,Z$14:Z$20),1,2,1),OFFSET(Z$13,MATCH(Z46,Z$14:Z$20),0,2,1),Z46))</f>
        <v>0</v>
      </c>
      <c r="AC62" s="2">
        <f>LOOKUP(AB46,$AB$14:$AB$20,$AC$14:$AC$20)</f>
        <v>0</v>
      </c>
      <c r="AE62" s="2">
        <f>LOOKUP(AD46,$AD$14:$AD$20,$AE$14:$AE$20)</f>
        <v>10</v>
      </c>
      <c r="AG62" s="2">
        <f>LOOKUP(AD46,$AD$14:$AD$20,$AE$14:$AE$20)</f>
        <v>10</v>
      </c>
      <c r="AI62" s="89"/>
      <c r="AJ62" s="89"/>
      <c r="AK62" s="89"/>
      <c r="AL62" s="89"/>
      <c r="AM62" s="82"/>
      <c r="AN62" s="82"/>
      <c r="AR62" s="82"/>
      <c r="AS62" s="82"/>
      <c r="AT62" s="82"/>
      <c r="AU62" s="82"/>
      <c r="AV62" s="82"/>
      <c r="AW62" s="82"/>
    </row>
    <row r="63" spans="1:49" x14ac:dyDescent="0.2">
      <c r="AI63" s="8"/>
      <c r="AJ63" s="204"/>
      <c r="AK63" s="204"/>
      <c r="AL63" s="8"/>
      <c r="AR63" s="8"/>
      <c r="AS63" s="8"/>
      <c r="AT63" s="8"/>
      <c r="AU63" s="8"/>
      <c r="AV63" s="8"/>
      <c r="AW63" s="8"/>
    </row>
    <row r="64" spans="1:49" x14ac:dyDescent="0.2">
      <c r="A64" s="11" t="s">
        <v>11</v>
      </c>
      <c r="C64" s="52" t="str">
        <f>B12</f>
        <v>MPG</v>
      </c>
      <c r="D64" s="6"/>
      <c r="E64" s="52" t="str">
        <f>D12</f>
        <v>CO2</v>
      </c>
      <c r="F64" s="6"/>
      <c r="G64" s="52" t="s">
        <v>85</v>
      </c>
      <c r="H64" s="6"/>
      <c r="I64" s="52" t="s">
        <v>86</v>
      </c>
      <c r="J64" s="6"/>
      <c r="K64" s="52" t="s">
        <v>87</v>
      </c>
      <c r="L64" s="6"/>
      <c r="M64" s="52" t="s">
        <v>88</v>
      </c>
      <c r="N64" s="6"/>
      <c r="O64" s="52" t="s">
        <v>89</v>
      </c>
      <c r="P64" s="6"/>
      <c r="Q64" s="52" t="str">
        <f>P12</f>
        <v>PAX Cap</v>
      </c>
      <c r="R64" s="6"/>
      <c r="S64" s="52" t="s">
        <v>90</v>
      </c>
      <c r="T64" s="6"/>
      <c r="U64" s="52" t="s">
        <v>91</v>
      </c>
      <c r="V64" s="6"/>
      <c r="W64" s="52" t="s">
        <v>47</v>
      </c>
      <c r="X64" s="6"/>
      <c r="Y64" s="52" t="s">
        <v>92</v>
      </c>
      <c r="Z64" s="6"/>
      <c r="AA64" s="52" t="s">
        <v>93</v>
      </c>
      <c r="AB64" s="6"/>
      <c r="AC64" s="52" t="str">
        <f>AB12</f>
        <v>USA</v>
      </c>
      <c r="AD64" s="6"/>
      <c r="AE64" s="52" t="s">
        <v>94</v>
      </c>
      <c r="AF64" s="6"/>
      <c r="AG64" s="52" t="str">
        <f>AF12</f>
        <v>Trim</v>
      </c>
      <c r="AH64" s="80" t="s">
        <v>12</v>
      </c>
      <c r="AI64" s="28"/>
      <c r="AJ64" s="31" t="s">
        <v>116</v>
      </c>
      <c r="AK64" s="31" t="s">
        <v>117</v>
      </c>
      <c r="AL64" s="8"/>
    </row>
    <row r="65" spans="1:67" x14ac:dyDescent="0.2">
      <c r="A65" s="17" t="str">
        <f t="shared" ref="A65:A74" si="83">A34</f>
        <v>2014 Toyota Camry</v>
      </c>
      <c r="C65" s="22">
        <f ca="1">C$61*C48</f>
        <v>1.8115942028985508</v>
      </c>
      <c r="D65" s="6"/>
      <c r="E65" s="22" t="e">
        <f t="shared" ref="C65:E76" ca="1" si="84">E$61*E48</f>
        <v>#VALUE!</v>
      </c>
      <c r="F65" s="6"/>
      <c r="G65" s="22">
        <f>G$61*G48</f>
        <v>0.81521739130434778</v>
      </c>
      <c r="H65" s="6"/>
      <c r="I65" s="22" t="e">
        <f ca="1">I$61*I48</f>
        <v>#N/A</v>
      </c>
      <c r="J65" s="6"/>
      <c r="K65" s="22">
        <f ca="1">K$61*K48</f>
        <v>8.3105590062111795E-2</v>
      </c>
      <c r="L65" s="6"/>
      <c r="M65" s="22" t="e">
        <f ca="1">M$61*M48</f>
        <v>#N/A</v>
      </c>
      <c r="N65" s="6"/>
      <c r="O65" s="22" t="e">
        <f ca="1">O$61*O48</f>
        <v>#N/A</v>
      </c>
      <c r="P65" s="6"/>
      <c r="Q65" s="22" t="e">
        <f ca="1">Q$61*Q48</f>
        <v>#N/A</v>
      </c>
      <c r="R65" s="6"/>
      <c r="S65" s="22" t="e">
        <f>S$61*S48</f>
        <v>#N/A</v>
      </c>
      <c r="T65" s="6"/>
      <c r="U65" s="22" t="e">
        <f ca="1">U$61*U48</f>
        <v>#N/A</v>
      </c>
      <c r="V65" s="6"/>
      <c r="W65" s="22" t="e">
        <f ca="1">W$61*W48</f>
        <v>#VALUE!</v>
      </c>
      <c r="X65" s="6"/>
      <c r="Y65" s="22">
        <f ca="1">Y$61*Y48</f>
        <v>0.52930056710775042</v>
      </c>
      <c r="Z65" s="6"/>
      <c r="AA65" s="22" t="e">
        <f ca="1">AA$61*AA48</f>
        <v>#VALUE!</v>
      </c>
      <c r="AB65" s="6"/>
      <c r="AC65" s="22" t="e">
        <f>AC$61*AC48</f>
        <v>#N/A</v>
      </c>
      <c r="AD65" s="6"/>
      <c r="AE65" s="22" t="e">
        <f>AE$61*AE48</f>
        <v>#REF!</v>
      </c>
      <c r="AF65" s="6"/>
      <c r="AG65" s="22">
        <f>AG$61*AG48</f>
        <v>0.38647342995169082</v>
      </c>
      <c r="AH65" s="81" t="e">
        <f ca="1">SUM(C65:AG65)</f>
        <v>#VALUE!</v>
      </c>
      <c r="AI65" s="11" t="s">
        <v>42</v>
      </c>
      <c r="AJ65" s="101">
        <v>59825</v>
      </c>
      <c r="AK65" s="108">
        <v>6.4590253466340419</v>
      </c>
      <c r="AL65" s="8"/>
      <c r="AR65" s="83"/>
    </row>
    <row r="66" spans="1:67" x14ac:dyDescent="0.2">
      <c r="A66" s="17">
        <f t="shared" si="83"/>
        <v>0</v>
      </c>
      <c r="C66" s="22" t="e">
        <f t="shared" ca="1" si="84"/>
        <v>#N/A</v>
      </c>
      <c r="D66" s="6"/>
      <c r="E66" s="22" t="e">
        <f t="shared" ca="1" si="84"/>
        <v>#N/A</v>
      </c>
      <c r="F66" s="6"/>
      <c r="G66" s="22" t="e">
        <f t="shared" ref="G66" si="85">G$61*G49</f>
        <v>#N/A</v>
      </c>
      <c r="H66" s="6"/>
      <c r="I66" s="22" t="e">
        <f t="shared" ref="I66:I76" ca="1" si="86">I$61*I49</f>
        <v>#N/A</v>
      </c>
      <c r="J66" s="6"/>
      <c r="K66" s="22">
        <f t="shared" ref="K66:K76" ca="1" si="87">K$61*K49</f>
        <v>0</v>
      </c>
      <c r="L66" s="6"/>
      <c r="M66" s="22" t="e">
        <f t="shared" ref="M66:M76" ca="1" si="88">M$61*M49</f>
        <v>#N/A</v>
      </c>
      <c r="N66" s="6"/>
      <c r="O66" s="22" t="e">
        <f t="shared" ref="O66:O76" ca="1" si="89">O$61*O49</f>
        <v>#N/A</v>
      </c>
      <c r="P66" s="6"/>
      <c r="Q66" s="22" t="e">
        <f t="shared" ref="Q66:Q76" ca="1" si="90">Q$61*Q49</f>
        <v>#N/A</v>
      </c>
      <c r="R66" s="6"/>
      <c r="S66" s="22" t="e">
        <f t="shared" ref="S66:S76" ca="1" si="91">S$61*S49</f>
        <v>#N/A</v>
      </c>
      <c r="T66" s="6"/>
      <c r="U66" s="22" t="e">
        <f t="shared" ref="U66:U76" ca="1" si="92">U$61*U49</f>
        <v>#N/A</v>
      </c>
      <c r="V66" s="6"/>
      <c r="W66" s="22" t="e">
        <f t="shared" ref="W66:W76" ca="1" si="93">W$61*W49</f>
        <v>#N/A</v>
      </c>
      <c r="X66" s="6"/>
      <c r="Y66" s="22" t="e">
        <f t="shared" ref="Y66:Y76" ca="1" si="94">Y$61*Y49</f>
        <v>#N/A</v>
      </c>
      <c r="Z66" s="6"/>
      <c r="AA66" s="22" t="e">
        <f t="shared" ref="AA66:AA76" ca="1" si="95">AA$61*AA49</f>
        <v>#N/A</v>
      </c>
      <c r="AB66" s="6"/>
      <c r="AC66" s="22" t="e">
        <f t="shared" ref="AC66:AC75" ca="1" si="96">AC$61*AC49</f>
        <v>#N/A</v>
      </c>
      <c r="AD66" s="6"/>
      <c r="AE66" s="22" t="e">
        <f t="shared" ref="AE66:AE76" si="97">AE$61*AE49</f>
        <v>#REF!</v>
      </c>
      <c r="AF66" s="6"/>
      <c r="AG66" s="22" t="e">
        <f t="shared" ref="AG66:AG76" ca="1" si="98">AG$61*AG49</f>
        <v>#N/A</v>
      </c>
      <c r="AH66" s="81" t="e">
        <f t="shared" ref="AH66:AH73" ca="1" si="99">SUM(C66:AG66)</f>
        <v>#N/A</v>
      </c>
      <c r="AI66" s="11" t="s">
        <v>98</v>
      </c>
      <c r="AJ66" s="107">
        <v>35905</v>
      </c>
      <c r="AK66" s="93">
        <v>6.6521517386598905</v>
      </c>
      <c r="AL66" s="8"/>
    </row>
    <row r="67" spans="1:67" x14ac:dyDescent="0.2">
      <c r="A67" s="17" t="str">
        <f t="shared" si="83"/>
        <v>2016 Toyota Rav4 Hybrid XLE</v>
      </c>
      <c r="C67" s="22">
        <f t="shared" ca="1" si="84"/>
        <v>1.8115942028985508</v>
      </c>
      <c r="D67" s="6"/>
      <c r="E67" s="22" t="e">
        <f t="shared" ca="1" si="84"/>
        <v>#VALUE!</v>
      </c>
      <c r="F67" s="6"/>
      <c r="G67" s="22">
        <f t="shared" ref="G67" si="100">G$61*G50</f>
        <v>0.81521739130434778</v>
      </c>
      <c r="H67" s="6"/>
      <c r="I67" s="22" t="e">
        <f t="shared" ca="1" si="86"/>
        <v>#N/A</v>
      </c>
      <c r="J67" s="6"/>
      <c r="K67" s="22">
        <f t="shared" ca="1" si="87"/>
        <v>0</v>
      </c>
      <c r="L67" s="6"/>
      <c r="M67" s="22" t="e">
        <f t="shared" ca="1" si="88"/>
        <v>#N/A</v>
      </c>
      <c r="N67" s="6"/>
      <c r="O67" s="22" t="e">
        <f t="shared" ca="1" si="89"/>
        <v>#N/A</v>
      </c>
      <c r="P67" s="6"/>
      <c r="Q67" s="22" t="e">
        <f t="shared" ca="1" si="90"/>
        <v>#N/A</v>
      </c>
      <c r="R67" s="6"/>
      <c r="S67" s="22" t="e">
        <f t="shared" si="91"/>
        <v>#N/A</v>
      </c>
      <c r="T67" s="6"/>
      <c r="U67" s="22" t="e">
        <f t="shared" ca="1" si="92"/>
        <v>#N/A</v>
      </c>
      <c r="V67" s="6"/>
      <c r="W67" s="22" t="e">
        <f t="shared" ca="1" si="93"/>
        <v>#VALUE!</v>
      </c>
      <c r="X67" s="6"/>
      <c r="Y67" s="22">
        <f t="shared" ca="1" si="94"/>
        <v>0.52930056710775042</v>
      </c>
      <c r="Z67" s="6"/>
      <c r="AA67" s="22" t="e">
        <f t="shared" ca="1" si="95"/>
        <v>#VALUE!</v>
      </c>
      <c r="AB67" s="6"/>
      <c r="AC67" s="22" t="e">
        <f t="shared" si="96"/>
        <v>#N/A</v>
      </c>
      <c r="AD67" s="6"/>
      <c r="AE67" s="22" t="e">
        <f t="shared" si="97"/>
        <v>#REF!</v>
      </c>
      <c r="AF67" s="6"/>
      <c r="AG67" s="22" t="e">
        <f t="shared" si="98"/>
        <v>#N/A</v>
      </c>
      <c r="AH67" s="81" t="e">
        <f t="shared" ca="1" si="99"/>
        <v>#VALUE!</v>
      </c>
      <c r="AI67" s="11" t="s">
        <v>43</v>
      </c>
      <c r="AJ67" s="101">
        <v>63025</v>
      </c>
      <c r="AK67" s="93">
        <v>6.6242638339920958</v>
      </c>
      <c r="AL67" s="8"/>
    </row>
    <row r="68" spans="1:67" x14ac:dyDescent="0.2">
      <c r="A68" s="17">
        <f t="shared" si="83"/>
        <v>0</v>
      </c>
      <c r="C68" s="22" t="e">
        <f t="shared" ca="1" si="84"/>
        <v>#N/A</v>
      </c>
      <c r="D68" s="6"/>
      <c r="E68" s="22" t="e">
        <f t="shared" ca="1" si="84"/>
        <v>#N/A</v>
      </c>
      <c r="F68" s="6"/>
      <c r="G68" s="22" t="e">
        <f t="shared" ref="G68" si="101">G$61*G51</f>
        <v>#N/A</v>
      </c>
      <c r="H68" s="6"/>
      <c r="I68" s="22" t="e">
        <f t="shared" ca="1" si="86"/>
        <v>#N/A</v>
      </c>
      <c r="J68" s="6"/>
      <c r="K68" s="22">
        <f t="shared" ca="1" si="87"/>
        <v>0</v>
      </c>
      <c r="L68" s="6"/>
      <c r="M68" s="22" t="e">
        <f t="shared" ca="1" si="88"/>
        <v>#N/A</v>
      </c>
      <c r="N68" s="6"/>
      <c r="O68" s="22" t="e">
        <f t="shared" ca="1" si="89"/>
        <v>#N/A</v>
      </c>
      <c r="P68" s="6"/>
      <c r="Q68" s="22" t="e">
        <f t="shared" ca="1" si="90"/>
        <v>#N/A</v>
      </c>
      <c r="R68" s="6"/>
      <c r="S68" s="22" t="e">
        <f t="shared" ca="1" si="91"/>
        <v>#N/A</v>
      </c>
      <c r="T68" s="6"/>
      <c r="U68" s="22" t="e">
        <f t="shared" ca="1" si="92"/>
        <v>#N/A</v>
      </c>
      <c r="V68" s="6"/>
      <c r="W68" s="22" t="e">
        <f t="shared" ca="1" si="93"/>
        <v>#N/A</v>
      </c>
      <c r="X68" s="6"/>
      <c r="Y68" s="22" t="e">
        <f t="shared" ca="1" si="94"/>
        <v>#N/A</v>
      </c>
      <c r="Z68" s="6"/>
      <c r="AA68" s="22" t="e">
        <f t="shared" ca="1" si="95"/>
        <v>#N/A</v>
      </c>
      <c r="AB68" s="6"/>
      <c r="AC68" s="22" t="e">
        <f t="shared" ca="1" si="96"/>
        <v>#N/A</v>
      </c>
      <c r="AD68" s="6"/>
      <c r="AE68" s="22" t="e">
        <f t="shared" si="97"/>
        <v>#REF!</v>
      </c>
      <c r="AF68" s="6"/>
      <c r="AG68" s="22" t="e">
        <f t="shared" ca="1" si="98"/>
        <v>#N/A</v>
      </c>
      <c r="AH68" s="81" t="e">
        <f t="shared" ca="1" si="99"/>
        <v>#N/A</v>
      </c>
      <c r="AI68" s="11" t="s">
        <v>46</v>
      </c>
      <c r="AJ68" s="101">
        <v>43765</v>
      </c>
      <c r="AK68" s="108">
        <v>6.1350971673254282</v>
      </c>
      <c r="AL68" s="8"/>
    </row>
    <row r="69" spans="1:67" x14ac:dyDescent="0.2">
      <c r="A69" s="17" t="str">
        <f t="shared" si="83"/>
        <v>C</v>
      </c>
      <c r="C69" s="22" t="e">
        <f t="shared" ca="1" si="84"/>
        <v>#N/A</v>
      </c>
      <c r="D69" s="6"/>
      <c r="E69" s="22" t="e">
        <f t="shared" ca="1" si="84"/>
        <v>#N/A</v>
      </c>
      <c r="F69" s="6"/>
      <c r="G69" s="22" t="e">
        <f t="shared" ref="G69" si="102">G$61*G52</f>
        <v>#N/A</v>
      </c>
      <c r="H69" s="6"/>
      <c r="I69" s="22" t="e">
        <f t="shared" ca="1" si="86"/>
        <v>#N/A</v>
      </c>
      <c r="J69" s="6"/>
      <c r="K69" s="22">
        <f t="shared" ca="1" si="87"/>
        <v>0</v>
      </c>
      <c r="L69" s="6"/>
      <c r="M69" s="22" t="e">
        <f t="shared" ca="1" si="88"/>
        <v>#N/A</v>
      </c>
      <c r="N69" s="6"/>
      <c r="O69" s="22" t="e">
        <f t="shared" ca="1" si="89"/>
        <v>#N/A</v>
      </c>
      <c r="P69" s="6"/>
      <c r="Q69" s="22" t="e">
        <f t="shared" ca="1" si="90"/>
        <v>#N/A</v>
      </c>
      <c r="R69" s="6"/>
      <c r="S69" s="22" t="e">
        <f t="shared" si="91"/>
        <v>#N/A</v>
      </c>
      <c r="T69" s="6"/>
      <c r="U69" s="22" t="e">
        <f t="shared" ca="1" si="92"/>
        <v>#N/A</v>
      </c>
      <c r="V69" s="6"/>
      <c r="W69" s="22" t="e">
        <f t="shared" ca="1" si="93"/>
        <v>#N/A</v>
      </c>
      <c r="X69" s="6"/>
      <c r="Y69" s="22" t="e">
        <f t="shared" ca="1" si="94"/>
        <v>#N/A</v>
      </c>
      <c r="Z69" s="6"/>
      <c r="AA69" s="22" t="e">
        <f t="shared" ca="1" si="95"/>
        <v>#N/A</v>
      </c>
      <c r="AB69" s="6"/>
      <c r="AC69" s="22" t="e">
        <f t="shared" si="96"/>
        <v>#N/A</v>
      </c>
      <c r="AD69" s="6"/>
      <c r="AE69" s="22" t="e">
        <f t="shared" si="97"/>
        <v>#REF!</v>
      </c>
      <c r="AF69" s="6"/>
      <c r="AG69" s="22" t="e">
        <f t="shared" si="98"/>
        <v>#N/A</v>
      </c>
      <c r="AH69" s="81" t="e">
        <f t="shared" ca="1" si="99"/>
        <v>#N/A</v>
      </c>
      <c r="AI69" s="11" t="s">
        <v>44</v>
      </c>
      <c r="AJ69" s="101">
        <v>36860</v>
      </c>
      <c r="AK69" s="108">
        <v>6.0289189252776216</v>
      </c>
      <c r="AL69" s="8"/>
    </row>
    <row r="70" spans="1:67" x14ac:dyDescent="0.2">
      <c r="A70" s="17">
        <f t="shared" si="83"/>
        <v>0</v>
      </c>
      <c r="C70" s="22" t="e">
        <f t="shared" ca="1" si="84"/>
        <v>#N/A</v>
      </c>
      <c r="D70" s="6"/>
      <c r="E70" s="22" t="e">
        <f t="shared" ca="1" si="84"/>
        <v>#N/A</v>
      </c>
      <c r="F70" s="6"/>
      <c r="G70" s="22" t="e">
        <f t="shared" ref="G70" si="103">G$61*G53</f>
        <v>#N/A</v>
      </c>
      <c r="H70" s="6"/>
      <c r="I70" s="22" t="e">
        <f t="shared" ca="1" si="86"/>
        <v>#N/A</v>
      </c>
      <c r="J70" s="6"/>
      <c r="K70" s="22">
        <f t="shared" ca="1" si="87"/>
        <v>0</v>
      </c>
      <c r="L70" s="6"/>
      <c r="M70" s="22" t="e">
        <f t="shared" ca="1" si="88"/>
        <v>#N/A</v>
      </c>
      <c r="N70" s="6"/>
      <c r="O70" s="22" t="e">
        <f t="shared" ca="1" si="89"/>
        <v>#N/A</v>
      </c>
      <c r="P70" s="6"/>
      <c r="Q70" s="22" t="e">
        <f t="shared" ca="1" si="90"/>
        <v>#N/A</v>
      </c>
      <c r="R70" s="6"/>
      <c r="S70" s="22" t="e">
        <f t="shared" ca="1" si="91"/>
        <v>#N/A</v>
      </c>
      <c r="T70" s="6"/>
      <c r="U70" s="22" t="e">
        <f t="shared" ca="1" si="92"/>
        <v>#N/A</v>
      </c>
      <c r="V70" s="6"/>
      <c r="W70" s="22" t="e">
        <f t="shared" ca="1" si="93"/>
        <v>#N/A</v>
      </c>
      <c r="X70" s="6"/>
      <c r="Y70" s="22" t="e">
        <f t="shared" ca="1" si="94"/>
        <v>#N/A</v>
      </c>
      <c r="Z70" s="6"/>
      <c r="AA70" s="22" t="e">
        <f t="shared" ca="1" si="95"/>
        <v>#N/A</v>
      </c>
      <c r="AB70" s="6"/>
      <c r="AC70" s="22" t="e">
        <f t="shared" ca="1" si="96"/>
        <v>#N/A</v>
      </c>
      <c r="AD70" s="6"/>
      <c r="AE70" s="22" t="e">
        <f t="shared" si="97"/>
        <v>#REF!</v>
      </c>
      <c r="AF70" s="6"/>
      <c r="AG70" s="22" t="e">
        <f t="shared" ca="1" si="98"/>
        <v>#N/A</v>
      </c>
      <c r="AH70" s="81" t="e">
        <f t="shared" ca="1" si="99"/>
        <v>#N/A</v>
      </c>
      <c r="AI70" s="11" t="s">
        <v>95</v>
      </c>
      <c r="AJ70" s="101">
        <v>71070</v>
      </c>
      <c r="AK70" s="108">
        <v>8.7606286467156043</v>
      </c>
      <c r="AL70" s="8"/>
    </row>
    <row r="71" spans="1:67" x14ac:dyDescent="0.2">
      <c r="A71" s="17" t="str">
        <f t="shared" si="83"/>
        <v>D</v>
      </c>
      <c r="C71" s="22" t="e">
        <f t="shared" ca="1" si="84"/>
        <v>#N/A</v>
      </c>
      <c r="D71" s="6"/>
      <c r="E71" s="22" t="e">
        <f t="shared" ca="1" si="84"/>
        <v>#N/A</v>
      </c>
      <c r="F71" s="6"/>
      <c r="G71" s="22" t="e">
        <f t="shared" ref="G71" si="104">G$61*G54</f>
        <v>#N/A</v>
      </c>
      <c r="H71" s="6"/>
      <c r="I71" s="22" t="e">
        <f t="shared" ca="1" si="86"/>
        <v>#N/A</v>
      </c>
      <c r="J71" s="6"/>
      <c r="K71" s="22">
        <f t="shared" ca="1" si="87"/>
        <v>0</v>
      </c>
      <c r="L71" s="6"/>
      <c r="M71" s="22" t="e">
        <f t="shared" ca="1" si="88"/>
        <v>#N/A</v>
      </c>
      <c r="N71" s="6"/>
      <c r="O71" s="22" t="e">
        <f t="shared" ca="1" si="89"/>
        <v>#N/A</v>
      </c>
      <c r="P71" s="6"/>
      <c r="Q71" s="22" t="e">
        <f t="shared" ca="1" si="90"/>
        <v>#N/A</v>
      </c>
      <c r="R71" s="6"/>
      <c r="S71" s="22" t="e">
        <f t="shared" si="91"/>
        <v>#N/A</v>
      </c>
      <c r="T71" s="6"/>
      <c r="U71" s="22" t="e">
        <f t="shared" ca="1" si="92"/>
        <v>#N/A</v>
      </c>
      <c r="V71" s="6"/>
      <c r="W71" s="22" t="e">
        <f t="shared" ca="1" si="93"/>
        <v>#N/A</v>
      </c>
      <c r="X71" s="6"/>
      <c r="Y71" s="22" t="e">
        <f t="shared" ca="1" si="94"/>
        <v>#N/A</v>
      </c>
      <c r="Z71" s="6"/>
      <c r="AA71" s="22" t="e">
        <f t="shared" ca="1" si="95"/>
        <v>#N/A</v>
      </c>
      <c r="AB71" s="6"/>
      <c r="AC71" s="22" t="e">
        <f t="shared" si="96"/>
        <v>#N/A</v>
      </c>
      <c r="AD71" s="6"/>
      <c r="AE71" s="22" t="e">
        <f t="shared" si="97"/>
        <v>#REF!</v>
      </c>
      <c r="AF71" s="6"/>
      <c r="AG71" s="22" t="e">
        <f t="shared" si="98"/>
        <v>#N/A</v>
      </c>
      <c r="AH71" s="81" t="e">
        <f t="shared" ca="1" si="99"/>
        <v>#N/A</v>
      </c>
      <c r="AI71" s="11" t="s">
        <v>100</v>
      </c>
      <c r="AJ71" s="101">
        <v>35695</v>
      </c>
      <c r="AK71" s="108">
        <v>6.6619783628207543</v>
      </c>
      <c r="AL71" s="8"/>
    </row>
    <row r="72" spans="1:67" x14ac:dyDescent="0.2">
      <c r="A72" s="17">
        <f t="shared" si="83"/>
        <v>0</v>
      </c>
      <c r="C72" s="22" t="e">
        <f t="shared" ca="1" si="84"/>
        <v>#N/A</v>
      </c>
      <c r="D72" s="6"/>
      <c r="E72" s="22" t="e">
        <f t="shared" ca="1" si="84"/>
        <v>#N/A</v>
      </c>
      <c r="F72" s="6"/>
      <c r="G72" s="22" t="e">
        <f t="shared" ref="G72" si="105">G$61*G55</f>
        <v>#N/A</v>
      </c>
      <c r="H72" s="6"/>
      <c r="I72" s="22" t="e">
        <f t="shared" ca="1" si="86"/>
        <v>#N/A</v>
      </c>
      <c r="J72" s="6"/>
      <c r="K72" s="22">
        <f t="shared" ca="1" si="87"/>
        <v>0</v>
      </c>
      <c r="L72" s="6"/>
      <c r="M72" s="22" t="e">
        <f t="shared" ca="1" si="88"/>
        <v>#N/A</v>
      </c>
      <c r="N72" s="6"/>
      <c r="O72" s="22" t="e">
        <f t="shared" ca="1" si="89"/>
        <v>#N/A</v>
      </c>
      <c r="P72" s="6"/>
      <c r="Q72" s="22" t="e">
        <f t="shared" ca="1" si="90"/>
        <v>#N/A</v>
      </c>
      <c r="R72" s="6"/>
      <c r="S72" s="22" t="e">
        <f t="shared" ca="1" si="91"/>
        <v>#N/A</v>
      </c>
      <c r="T72" s="6"/>
      <c r="U72" s="22" t="e">
        <f t="shared" ca="1" si="92"/>
        <v>#N/A</v>
      </c>
      <c r="V72" s="6"/>
      <c r="W72" s="22" t="e">
        <f t="shared" ca="1" si="93"/>
        <v>#N/A</v>
      </c>
      <c r="X72" s="6"/>
      <c r="Y72" s="22" t="e">
        <f t="shared" ca="1" si="94"/>
        <v>#N/A</v>
      </c>
      <c r="Z72" s="6"/>
      <c r="AA72" s="22" t="e">
        <f t="shared" ca="1" si="95"/>
        <v>#N/A</v>
      </c>
      <c r="AB72" s="6"/>
      <c r="AC72" s="22" t="e">
        <f t="shared" ca="1" si="96"/>
        <v>#N/A</v>
      </c>
      <c r="AD72" s="6"/>
      <c r="AE72" s="22" t="e">
        <f t="shared" si="97"/>
        <v>#REF!</v>
      </c>
      <c r="AF72" s="6"/>
      <c r="AG72" s="22" t="e">
        <f t="shared" ca="1" si="98"/>
        <v>#N/A</v>
      </c>
      <c r="AH72" s="81" t="e">
        <f t="shared" ca="1" si="99"/>
        <v>#N/A</v>
      </c>
      <c r="AI72" s="11" t="s">
        <v>101</v>
      </c>
      <c r="AJ72" s="101">
        <v>29695</v>
      </c>
      <c r="AK72" s="108">
        <v>5.6825024703557308</v>
      </c>
      <c r="AL72" s="8"/>
    </row>
    <row r="73" spans="1:67" x14ac:dyDescent="0.2">
      <c r="A73" s="17" t="str">
        <f t="shared" si="83"/>
        <v>E</v>
      </c>
      <c r="C73" s="22" t="e">
        <f t="shared" ca="1" si="84"/>
        <v>#N/A</v>
      </c>
      <c r="D73" s="6"/>
      <c r="E73" s="22" t="e">
        <f t="shared" ca="1" si="84"/>
        <v>#N/A</v>
      </c>
      <c r="F73" s="6"/>
      <c r="G73" s="22" t="e">
        <f t="shared" ref="G73" si="106">G$61*G56</f>
        <v>#N/A</v>
      </c>
      <c r="H73" s="6"/>
      <c r="I73" s="22" t="e">
        <f t="shared" ca="1" si="86"/>
        <v>#N/A</v>
      </c>
      <c r="J73" s="6"/>
      <c r="K73" s="22">
        <f t="shared" ca="1" si="87"/>
        <v>0</v>
      </c>
      <c r="L73" s="6"/>
      <c r="M73" s="22" t="e">
        <f t="shared" ca="1" si="88"/>
        <v>#N/A</v>
      </c>
      <c r="N73" s="6"/>
      <c r="O73" s="22" t="e">
        <f t="shared" ca="1" si="89"/>
        <v>#N/A</v>
      </c>
      <c r="P73" s="6"/>
      <c r="Q73" s="22" t="e">
        <f t="shared" ca="1" si="90"/>
        <v>#N/A</v>
      </c>
      <c r="R73" s="6"/>
      <c r="S73" s="22" t="e">
        <f t="shared" si="91"/>
        <v>#N/A</v>
      </c>
      <c r="T73" s="6"/>
      <c r="U73" s="22" t="e">
        <f t="shared" ca="1" si="92"/>
        <v>#N/A</v>
      </c>
      <c r="V73" s="6"/>
      <c r="W73" s="22" t="e">
        <f t="shared" ca="1" si="93"/>
        <v>#N/A</v>
      </c>
      <c r="X73" s="6"/>
      <c r="Y73" s="22" t="e">
        <f t="shared" ca="1" si="94"/>
        <v>#N/A</v>
      </c>
      <c r="Z73" s="6"/>
      <c r="AA73" s="22" t="e">
        <f t="shared" ca="1" si="95"/>
        <v>#N/A</v>
      </c>
      <c r="AB73" s="6"/>
      <c r="AC73" s="22" t="e">
        <f t="shared" si="96"/>
        <v>#N/A</v>
      </c>
      <c r="AD73" s="6"/>
      <c r="AE73" s="22" t="e">
        <f t="shared" si="97"/>
        <v>#REF!</v>
      </c>
      <c r="AF73" s="6"/>
      <c r="AG73" s="22" t="e">
        <f t="shared" si="98"/>
        <v>#N/A</v>
      </c>
      <c r="AH73" s="81" t="e">
        <f t="shared" ca="1" si="99"/>
        <v>#N/A</v>
      </c>
      <c r="AI73" s="11" t="s">
        <v>99</v>
      </c>
      <c r="AJ73" s="101">
        <v>31672</v>
      </c>
      <c r="AK73" s="108">
        <v>6.9588641069075834</v>
      </c>
      <c r="AL73" s="8"/>
    </row>
    <row r="74" spans="1:67" x14ac:dyDescent="0.2">
      <c r="A74" s="17">
        <f t="shared" si="83"/>
        <v>0</v>
      </c>
      <c r="C74" s="22" t="e">
        <f t="shared" ca="1" si="84"/>
        <v>#N/A</v>
      </c>
      <c r="D74" s="6"/>
      <c r="E74" s="22" t="e">
        <f t="shared" ca="1" si="84"/>
        <v>#N/A</v>
      </c>
      <c r="F74" s="6"/>
      <c r="G74" s="22" t="e">
        <f t="shared" ref="G74" si="107">G$61*G57</f>
        <v>#N/A</v>
      </c>
      <c r="H74" s="6"/>
      <c r="I74" s="22" t="e">
        <f t="shared" ca="1" si="86"/>
        <v>#N/A</v>
      </c>
      <c r="J74" s="6"/>
      <c r="K74" s="22">
        <f t="shared" ca="1" si="87"/>
        <v>0</v>
      </c>
      <c r="L74" s="6"/>
      <c r="M74" s="22" t="e">
        <f t="shared" ca="1" si="88"/>
        <v>#N/A</v>
      </c>
      <c r="N74" s="6"/>
      <c r="O74" s="22" t="e">
        <f t="shared" ca="1" si="89"/>
        <v>#N/A</v>
      </c>
      <c r="P74" s="6"/>
      <c r="Q74" s="22" t="e">
        <f t="shared" ca="1" si="90"/>
        <v>#N/A</v>
      </c>
      <c r="R74" s="6"/>
      <c r="S74" s="22" t="e">
        <f t="shared" ca="1" si="91"/>
        <v>#N/A</v>
      </c>
      <c r="T74" s="6"/>
      <c r="U74" s="22" t="e">
        <f t="shared" ca="1" si="92"/>
        <v>#N/A</v>
      </c>
      <c r="V74" s="6"/>
      <c r="W74" s="22" t="e">
        <f t="shared" ca="1" si="93"/>
        <v>#N/A</v>
      </c>
      <c r="X74" s="6"/>
      <c r="Y74" s="22" t="e">
        <f t="shared" ca="1" si="94"/>
        <v>#N/A</v>
      </c>
      <c r="Z74" s="6"/>
      <c r="AA74" s="22" t="e">
        <f t="shared" ca="1" si="95"/>
        <v>#N/A</v>
      </c>
      <c r="AB74" s="6"/>
      <c r="AC74" s="22" t="e">
        <f t="shared" ca="1" si="96"/>
        <v>#N/A</v>
      </c>
      <c r="AD74" s="6"/>
      <c r="AE74" s="22" t="e">
        <f t="shared" si="97"/>
        <v>#REF!</v>
      </c>
      <c r="AF74" s="6"/>
      <c r="AG74" s="22" t="e">
        <f t="shared" ca="1" si="98"/>
        <v>#N/A</v>
      </c>
      <c r="AH74" s="81" t="e">
        <f t="shared" ref="AH74" ca="1" si="108">SUM(C74:AG74)</f>
        <v>#N/A</v>
      </c>
      <c r="AI74" s="11" t="s">
        <v>110</v>
      </c>
      <c r="AJ74" s="101">
        <v>0</v>
      </c>
      <c r="AK74" s="108">
        <v>4.5328530255975901</v>
      </c>
      <c r="AL74" s="27"/>
      <c r="AM74" s="6"/>
      <c r="AN74" s="22"/>
      <c r="AO74" s="6"/>
      <c r="AP74" s="22"/>
      <c r="AQ74" s="6"/>
      <c r="AR74" s="22"/>
      <c r="AS74" s="6"/>
      <c r="AT74" s="22"/>
      <c r="AU74" s="6"/>
      <c r="AV74" s="22"/>
      <c r="AW74" s="6"/>
      <c r="AX74" s="22"/>
      <c r="AY74" s="6"/>
      <c r="AZ74" s="22"/>
      <c r="BA74" s="6"/>
      <c r="BB74" s="22"/>
      <c r="BC74" s="6"/>
      <c r="BD74" s="22"/>
      <c r="BE74" s="6"/>
      <c r="BF74" s="22"/>
      <c r="BG74" s="6"/>
      <c r="BH74" s="22"/>
      <c r="BI74" s="6"/>
      <c r="BJ74" s="22"/>
      <c r="BK74" s="6"/>
      <c r="BL74" s="22"/>
      <c r="BM74" s="6"/>
      <c r="BN74" s="22"/>
      <c r="BO74" s="81"/>
    </row>
    <row r="75" spans="1:67" x14ac:dyDescent="0.2">
      <c r="A75" s="17" t="str">
        <f>A58</f>
        <v>Best</v>
      </c>
      <c r="C75" s="22" t="e">
        <f t="shared" ca="1" si="84"/>
        <v>#N/A</v>
      </c>
      <c r="D75" s="6"/>
      <c r="E75" s="22" t="e">
        <f t="shared" ca="1" si="84"/>
        <v>#N/A</v>
      </c>
      <c r="F75" s="6"/>
      <c r="G75" s="22">
        <f t="shared" ref="G75" si="109">G$61*G58</f>
        <v>0.45289855072463769</v>
      </c>
      <c r="H75" s="6"/>
      <c r="I75" s="22">
        <f t="shared" ca="1" si="86"/>
        <v>0.90579710144927539</v>
      </c>
      <c r="J75" s="6"/>
      <c r="K75" s="22">
        <f t="shared" ca="1" si="87"/>
        <v>8.3105590062111795E-2</v>
      </c>
      <c r="L75" s="6"/>
      <c r="M75" s="22" t="e">
        <f t="shared" ca="1" si="88"/>
        <v>#N/A</v>
      </c>
      <c r="N75" s="6"/>
      <c r="O75" s="22" t="e">
        <f t="shared" ca="1" si="89"/>
        <v>#N/A</v>
      </c>
      <c r="P75" s="6"/>
      <c r="Q75" s="22" t="e">
        <f t="shared" ca="1" si="90"/>
        <v>#N/A</v>
      </c>
      <c r="R75" s="6"/>
      <c r="S75" s="22" t="e">
        <f t="shared" si="91"/>
        <v>#N/A</v>
      </c>
      <c r="T75" s="6"/>
      <c r="U75" s="22" t="e">
        <f t="shared" ca="1" si="92"/>
        <v>#N/A</v>
      </c>
      <c r="V75" s="6"/>
      <c r="W75" s="22" t="e">
        <f t="shared" ca="1" si="93"/>
        <v>#N/A</v>
      </c>
      <c r="X75" s="6"/>
      <c r="Y75" s="22" t="e">
        <f t="shared" ca="1" si="94"/>
        <v>#N/A</v>
      </c>
      <c r="Z75" s="6"/>
      <c r="AA75" s="22">
        <f t="shared" ca="1" si="95"/>
        <v>0.45368620037807178</v>
      </c>
      <c r="AB75" s="6"/>
      <c r="AC75" s="22">
        <f t="shared" si="96"/>
        <v>0.82125603864734287</v>
      </c>
      <c r="AD75" s="6"/>
      <c r="AE75" s="22">
        <f t="shared" si="97"/>
        <v>0.96618357487922701</v>
      </c>
      <c r="AF75" s="6"/>
      <c r="AG75" s="22">
        <f t="shared" si="98"/>
        <v>0.38647342995169082</v>
      </c>
      <c r="AH75" s="81" t="e">
        <f t="shared" ref="AH75:AH77" ca="1" si="110">SUM(C75:AG75)</f>
        <v>#N/A</v>
      </c>
      <c r="AI75" s="28"/>
      <c r="AJ75" s="101"/>
      <c r="AK75" s="93"/>
      <c r="AL75" s="8"/>
    </row>
    <row r="76" spans="1:67" x14ac:dyDescent="0.2">
      <c r="A76" s="11" t="s">
        <v>118</v>
      </c>
      <c r="C76" s="22">
        <f ca="1">C$61*C59</f>
        <v>0.65217391304347849</v>
      </c>
      <c r="E76" s="22">
        <f t="shared" ca="1" si="84"/>
        <v>0.42499999999999993</v>
      </c>
      <c r="G76" s="22">
        <f>G$61*G59</f>
        <v>0.90579710144927539</v>
      </c>
      <c r="I76" s="22">
        <f t="shared" ca="1" si="86"/>
        <v>0.31906702898550715</v>
      </c>
      <c r="K76" s="22">
        <f t="shared" ca="1" si="87"/>
        <v>9.3540372670807434E-2</v>
      </c>
      <c r="M76" s="22">
        <f t="shared" ca="1" si="88"/>
        <v>4.4124223602484511E-2</v>
      </c>
      <c r="O76" s="22">
        <f t="shared" ca="1" si="89"/>
        <v>2.3850931677018548E-2</v>
      </c>
      <c r="Q76" s="22">
        <f t="shared" ca="1" si="90"/>
        <v>0.19080745341614908</v>
      </c>
      <c r="S76" s="22">
        <f t="shared" si="91"/>
        <v>0.55210489993098677</v>
      </c>
      <c r="U76" s="22">
        <f t="shared" ca="1" si="92"/>
        <v>0.29990338164251218</v>
      </c>
      <c r="W76" s="22">
        <f t="shared" ca="1" si="93"/>
        <v>0</v>
      </c>
      <c r="Y76" s="22">
        <f t="shared" ca="1" si="94"/>
        <v>0</v>
      </c>
      <c r="AA76" s="22">
        <f t="shared" ca="1" si="95"/>
        <v>0.45368620037807178</v>
      </c>
      <c r="AC76" s="22">
        <f>AC$61*AC59</f>
        <v>0.82125603864734287</v>
      </c>
      <c r="AE76" s="22">
        <f t="shared" si="97"/>
        <v>0.96618357487922701</v>
      </c>
      <c r="AG76" s="22">
        <f t="shared" si="98"/>
        <v>0.38647342995169082</v>
      </c>
      <c r="AH76" s="81">
        <f t="shared" ca="1" si="110"/>
        <v>6.1339685502745516</v>
      </c>
      <c r="AI76" s="94" t="s">
        <v>118</v>
      </c>
      <c r="AJ76" s="101">
        <v>25990</v>
      </c>
      <c r="AK76" s="116">
        <f ca="1">AH76</f>
        <v>6.1339685502745516</v>
      </c>
      <c r="AL76" s="8"/>
    </row>
    <row r="77" spans="1:67" ht="15" x14ac:dyDescent="0.25">
      <c r="A77" s="9" t="s">
        <v>121</v>
      </c>
      <c r="C77" s="22">
        <f ca="1">C$61*C62</f>
        <v>1.1231884057971016</v>
      </c>
      <c r="E77" s="22">
        <f ca="1">E$61*E62</f>
        <v>8.6956521739130363E-2</v>
      </c>
      <c r="G77" s="22">
        <f>G$61*G62</f>
        <v>0.81521739130434778</v>
      </c>
      <c r="I77" s="22">
        <f ca="1">I$61*I62</f>
        <v>0.90579710144927539</v>
      </c>
      <c r="K77" s="22">
        <f ca="1">K$61*K62</f>
        <v>1.8484472049689445E-2</v>
      </c>
      <c r="M77" s="22">
        <f ca="1">M$61*M62</f>
        <v>5.3664596273291926E-2</v>
      </c>
      <c r="O77" s="22">
        <f ca="1">O$61*O62</f>
        <v>4.770186335403731E-2</v>
      </c>
      <c r="Q77" s="22">
        <f ca="1">Q$61*Q62</f>
        <v>0.19080745341614908</v>
      </c>
      <c r="S77" s="22">
        <f>S$61*S62</f>
        <v>0.11042097998619736</v>
      </c>
      <c r="U77" s="22">
        <f ca="1">U$61*U62</f>
        <v>5.8891189325971871E-2</v>
      </c>
      <c r="W77" s="22">
        <f ca="1">W$61*W62</f>
        <v>0.36294896030245727</v>
      </c>
      <c r="Y77" s="22">
        <f ca="1">Y$61*Y62</f>
        <v>0.52930056710775042</v>
      </c>
      <c r="AA77" s="22">
        <f ca="1">AA$61*AA62</f>
        <v>0</v>
      </c>
      <c r="AC77" s="22">
        <f>AC$61*AC62</f>
        <v>0</v>
      </c>
      <c r="AE77" s="22">
        <f>AE$61*AE62</f>
        <v>0.96618357487922701</v>
      </c>
      <c r="AG77" s="22">
        <f>AG$61*AG62</f>
        <v>0.38647342995169082</v>
      </c>
      <c r="AH77" s="81">
        <f t="shared" ca="1" si="110"/>
        <v>5.6560365069363172</v>
      </c>
      <c r="AI77" s="94" t="s">
        <v>121</v>
      </c>
      <c r="AJ77" s="101">
        <v>27500</v>
      </c>
      <c r="AK77" s="84">
        <f ca="1">AH77</f>
        <v>5.6560365069363172</v>
      </c>
    </row>
    <row r="80" spans="1:67" x14ac:dyDescent="0.2">
      <c r="AI80" s="4"/>
      <c r="AJ80" s="4"/>
      <c r="AK80" s="4"/>
    </row>
    <row r="82" spans="35:58" x14ac:dyDescent="0.2"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</row>
    <row r="83" spans="35:58" x14ac:dyDescent="0.2"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</row>
    <row r="84" spans="35:58" ht="20.25" x14ac:dyDescent="0.3">
      <c r="AI84" s="89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</row>
    <row r="85" spans="35:58" x14ac:dyDescent="0.2">
      <c r="AN85" s="8"/>
      <c r="AO85" s="8"/>
      <c r="AP85" s="100"/>
      <c r="AQ85" s="100"/>
      <c r="AR85" s="100"/>
      <c r="AS85" s="100"/>
      <c r="AT85" s="100"/>
      <c r="AU85" s="100"/>
      <c r="AV85" s="100"/>
      <c r="AW85" s="100"/>
      <c r="AX85" s="100"/>
      <c r="AY85" s="100"/>
      <c r="AZ85" s="100"/>
      <c r="BA85" s="100"/>
      <c r="BB85" s="100"/>
      <c r="BC85" s="100"/>
      <c r="BD85" s="100"/>
      <c r="BE85" s="100"/>
      <c r="BF85" s="8"/>
    </row>
    <row r="86" spans="35:58" x14ac:dyDescent="0.2">
      <c r="AN86" s="8"/>
      <c r="AO86" s="94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8"/>
    </row>
    <row r="87" spans="35:58" x14ac:dyDescent="0.2">
      <c r="AN87" s="8"/>
      <c r="AO87" s="94"/>
      <c r="AP87" s="98"/>
      <c r="AQ87" s="98"/>
      <c r="AR87" s="98"/>
      <c r="AS87" s="98"/>
      <c r="AT87" s="98"/>
      <c r="AU87" s="98"/>
      <c r="AV87" s="98"/>
      <c r="AW87" s="98"/>
      <c r="AX87" s="98"/>
      <c r="AY87" s="98"/>
      <c r="AZ87" s="98"/>
      <c r="BA87" s="98"/>
      <c r="BB87" s="98"/>
      <c r="BC87" s="98"/>
      <c r="BD87" s="98"/>
      <c r="BE87" s="98"/>
      <c r="BF87" s="8"/>
    </row>
    <row r="88" spans="35:58" x14ac:dyDescent="0.2">
      <c r="AN88" s="8"/>
      <c r="AO88" s="94"/>
      <c r="AP88" s="98"/>
      <c r="AQ88" s="98"/>
      <c r="AR88" s="98"/>
      <c r="AS88" s="98"/>
      <c r="AT88" s="98"/>
      <c r="AU88" s="98"/>
      <c r="AV88" s="98"/>
      <c r="AW88" s="98"/>
      <c r="AX88" s="98"/>
      <c r="AY88" s="98"/>
      <c r="AZ88" s="98"/>
      <c r="BA88" s="98"/>
      <c r="BB88" s="98"/>
      <c r="BC88" s="98"/>
      <c r="BD88" s="98"/>
      <c r="BE88" s="98"/>
      <c r="BF88" s="8"/>
    </row>
    <row r="89" spans="35:58" x14ac:dyDescent="0.2">
      <c r="AN89" s="8"/>
      <c r="AO89" s="94"/>
      <c r="AP89" s="98"/>
      <c r="AQ89" s="98"/>
      <c r="AR89" s="98"/>
      <c r="AS89" s="98"/>
      <c r="AT89" s="98"/>
      <c r="AU89" s="98"/>
      <c r="AV89" s="98"/>
      <c r="AW89" s="98"/>
      <c r="AX89" s="98"/>
      <c r="AY89" s="98"/>
      <c r="AZ89" s="98"/>
      <c r="BA89" s="98"/>
      <c r="BB89" s="98"/>
      <c r="BC89" s="98"/>
      <c r="BD89" s="98"/>
      <c r="BE89" s="98"/>
      <c r="BF89" s="8"/>
    </row>
    <row r="90" spans="35:58" x14ac:dyDescent="0.2">
      <c r="AI90" s="7"/>
      <c r="AJ90" s="7"/>
      <c r="AK90" s="7"/>
      <c r="AN90" s="8"/>
      <c r="AO90" s="94"/>
      <c r="AP90" s="98"/>
      <c r="AQ90" s="98"/>
      <c r="AR90" s="98"/>
      <c r="AS90" s="98"/>
      <c r="AT90" s="98"/>
      <c r="AU90" s="98"/>
      <c r="AV90" s="98"/>
      <c r="AW90" s="98"/>
      <c r="AX90" s="98"/>
      <c r="AY90" s="98"/>
      <c r="AZ90" s="98"/>
      <c r="BA90" s="98"/>
      <c r="BB90" s="98"/>
      <c r="BC90" s="98"/>
      <c r="BD90" s="98"/>
      <c r="BE90" s="98"/>
      <c r="BF90" s="8"/>
    </row>
    <row r="91" spans="35:58" x14ac:dyDescent="0.2">
      <c r="AN91" s="8"/>
      <c r="AO91" s="94"/>
      <c r="AP91" s="98"/>
      <c r="AQ91" s="98"/>
      <c r="AR91" s="98"/>
      <c r="AS91" s="98"/>
      <c r="AT91" s="98"/>
      <c r="AU91" s="98"/>
      <c r="AV91" s="98"/>
      <c r="AW91" s="98"/>
      <c r="AX91" s="98"/>
      <c r="AY91" s="98"/>
      <c r="AZ91" s="98"/>
      <c r="BA91" s="98"/>
      <c r="BB91" s="98"/>
      <c r="BC91" s="98"/>
      <c r="BD91" s="98"/>
      <c r="BE91" s="98"/>
      <c r="BF91" s="8"/>
    </row>
    <row r="92" spans="35:58" x14ac:dyDescent="0.2">
      <c r="AN92" s="8"/>
      <c r="AO92" s="94"/>
      <c r="AP92" s="98"/>
      <c r="AQ92" s="98"/>
      <c r="AR92" s="98"/>
      <c r="AS92" s="98"/>
      <c r="AT92" s="98"/>
      <c r="AU92" s="98"/>
      <c r="AV92" s="98"/>
      <c r="AW92" s="98"/>
      <c r="AX92" s="98"/>
      <c r="AY92" s="98"/>
      <c r="AZ92" s="98"/>
      <c r="BA92" s="98"/>
      <c r="BB92" s="98"/>
      <c r="BC92" s="98"/>
      <c r="BD92" s="98"/>
      <c r="BE92" s="98"/>
      <c r="BF92" s="8"/>
    </row>
    <row r="93" spans="35:58" x14ac:dyDescent="0.2">
      <c r="AN93" s="8"/>
      <c r="AO93" s="94"/>
      <c r="AP93" s="98"/>
      <c r="AQ93" s="98"/>
      <c r="AR93" s="98"/>
      <c r="AS93" s="98"/>
      <c r="AT93" s="98"/>
      <c r="AU93" s="98"/>
      <c r="AV93" s="98"/>
      <c r="AW93" s="98"/>
      <c r="AX93" s="98"/>
      <c r="AY93" s="98"/>
      <c r="AZ93" s="98"/>
      <c r="BA93" s="98"/>
      <c r="BB93" s="98"/>
      <c r="BC93" s="98"/>
      <c r="BD93" s="98"/>
      <c r="BE93" s="98"/>
      <c r="BF93" s="8"/>
    </row>
    <row r="94" spans="35:58" x14ac:dyDescent="0.2">
      <c r="AN94" s="8"/>
      <c r="AO94" s="94"/>
      <c r="AP94" s="98"/>
      <c r="AQ94" s="98"/>
      <c r="AR94" s="98"/>
      <c r="AS94" s="98"/>
      <c r="AT94" s="98"/>
      <c r="AU94" s="98"/>
      <c r="AV94" s="98"/>
      <c r="AW94" s="98"/>
      <c r="AX94" s="98"/>
      <c r="AY94" s="98"/>
      <c r="AZ94" s="98"/>
      <c r="BA94" s="98"/>
      <c r="BB94" s="98"/>
      <c r="BC94" s="98"/>
      <c r="BD94" s="98"/>
      <c r="BE94" s="98"/>
      <c r="BF94" s="8"/>
    </row>
    <row r="95" spans="35:58" x14ac:dyDescent="0.2">
      <c r="AN95" s="8"/>
      <c r="AO95" s="94"/>
      <c r="AP95" s="98"/>
      <c r="AQ95" s="98"/>
      <c r="AR95" s="98"/>
      <c r="AS95" s="98"/>
      <c r="AT95" s="98"/>
      <c r="AU95" s="98"/>
      <c r="AV95" s="98"/>
      <c r="AW95" s="98"/>
      <c r="AX95" s="98"/>
      <c r="AY95" s="98"/>
      <c r="AZ95" s="98"/>
      <c r="BA95" s="98"/>
      <c r="BB95" s="98"/>
      <c r="BC95" s="98"/>
      <c r="BD95" s="98"/>
      <c r="BE95" s="98"/>
      <c r="BF95" s="8"/>
    </row>
    <row r="96" spans="35:58" x14ac:dyDescent="0.2">
      <c r="AN96" s="8"/>
      <c r="AO96" s="94"/>
      <c r="AP96" s="98"/>
      <c r="AQ96" s="98"/>
      <c r="AR96" s="98"/>
      <c r="AS96" s="98"/>
      <c r="AT96" s="98"/>
      <c r="AU96" s="98"/>
      <c r="AV96" s="98"/>
      <c r="AW96" s="98"/>
      <c r="AX96" s="98"/>
      <c r="AY96" s="98"/>
      <c r="AZ96" s="98"/>
      <c r="BA96" s="98"/>
      <c r="BB96" s="98"/>
      <c r="BC96" s="98"/>
      <c r="BD96" s="98"/>
      <c r="BE96" s="98"/>
      <c r="BF96" s="8"/>
    </row>
    <row r="97" spans="35:58" x14ac:dyDescent="0.2"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</row>
    <row r="98" spans="35:58" x14ac:dyDescent="0.2"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</row>
    <row r="99" spans="35:58" x14ac:dyDescent="0.2"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</row>
    <row r="100" spans="35:58" x14ac:dyDescent="0.2"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</row>
    <row r="103" spans="35:58" ht="20.25" x14ac:dyDescent="0.3">
      <c r="AI103" s="89"/>
      <c r="AJ103" s="82"/>
      <c r="AK103" s="82"/>
      <c r="AL103" s="82"/>
      <c r="AM103" s="82"/>
      <c r="AN103" s="82"/>
      <c r="AO103" s="82"/>
      <c r="AP103" s="82"/>
      <c r="AQ103" s="82"/>
      <c r="AR103" s="82"/>
      <c r="AS103" s="82"/>
      <c r="AT103" s="82"/>
      <c r="AU103" s="82"/>
      <c r="AV103" s="82"/>
      <c r="AW103" s="82"/>
    </row>
    <row r="122" spans="1:1" ht="15" x14ac:dyDescent="0.2">
      <c r="A122" s="21"/>
    </row>
    <row r="123" spans="1:1" ht="15" x14ac:dyDescent="0.2">
      <c r="A123" s="20"/>
    </row>
  </sheetData>
  <sortState ref="AI53:AN62">
    <sortCondition descending="1" ref="AM53"/>
  </sortState>
  <mergeCells count="40">
    <mergeCell ref="AJ63:AK63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Z10:AA10"/>
    <mergeCell ref="AD10:AE10"/>
    <mergeCell ref="AB10:AC10"/>
    <mergeCell ref="AB5:AG5"/>
    <mergeCell ref="AB8:AG8"/>
    <mergeCell ref="A1:C1"/>
    <mergeCell ref="A17:A18"/>
    <mergeCell ref="P9:Q9"/>
    <mergeCell ref="F9:G9"/>
    <mergeCell ref="H9:I9"/>
    <mergeCell ref="B9:C9"/>
    <mergeCell ref="D9:E9"/>
    <mergeCell ref="N9:O9"/>
    <mergeCell ref="B5:I5"/>
    <mergeCell ref="J5:AA5"/>
    <mergeCell ref="J8:Q8"/>
    <mergeCell ref="R8:U8"/>
    <mergeCell ref="V8:AA8"/>
    <mergeCell ref="X9:Y9"/>
    <mergeCell ref="AF9:AG9"/>
    <mergeCell ref="AF10:AG10"/>
    <mergeCell ref="R9:S9"/>
    <mergeCell ref="V9:W9"/>
    <mergeCell ref="T9:U9"/>
    <mergeCell ref="Z9:AA9"/>
    <mergeCell ref="AD9:AE9"/>
    <mergeCell ref="AB9:AC9"/>
  </mergeCells>
  <dataValidations count="1">
    <dataValidation type="custom" allowBlank="1" showInputMessage="1" showErrorMessage="1" error="List of measures cannot be decreasing" sqref="B16:B18">
      <formula1>B16&gt;=B15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7"/>
  <sheetViews>
    <sheetView workbookViewId="0">
      <selection activeCell="A2" sqref="A2"/>
    </sheetView>
  </sheetViews>
  <sheetFormatPr defaultRowHeight="12.75" x14ac:dyDescent="0.2"/>
  <sheetData>
    <row r="1" spans="1:17" x14ac:dyDescent="0.2">
      <c r="A1" t="s">
        <v>141</v>
      </c>
      <c r="B1" s="208" t="s">
        <v>142</v>
      </c>
      <c r="C1" s="208"/>
      <c r="D1" s="208"/>
      <c r="E1" s="150"/>
      <c r="F1" s="150"/>
    </row>
    <row r="2" spans="1:17" x14ac:dyDescent="0.2">
      <c r="A2" t="s">
        <v>143</v>
      </c>
      <c r="B2" s="208">
        <v>3.56</v>
      </c>
      <c r="C2" s="208"/>
      <c r="D2" s="208"/>
      <c r="E2" s="150"/>
      <c r="F2" s="150"/>
    </row>
    <row r="4" spans="1:17" x14ac:dyDescent="0.2">
      <c r="J4" t="s">
        <v>116</v>
      </c>
    </row>
    <row r="5" spans="1:17" x14ac:dyDescent="0.2">
      <c r="B5" t="s">
        <v>41</v>
      </c>
      <c r="C5" t="s">
        <v>17</v>
      </c>
      <c r="E5" t="s">
        <v>144</v>
      </c>
      <c r="J5" t="s">
        <v>145</v>
      </c>
      <c r="K5" t="s">
        <v>146</v>
      </c>
      <c r="L5" t="s">
        <v>147</v>
      </c>
      <c r="M5" t="s">
        <v>148</v>
      </c>
      <c r="N5" t="s">
        <v>149</v>
      </c>
      <c r="O5" t="s">
        <v>150</v>
      </c>
      <c r="P5" t="s">
        <v>151</v>
      </c>
      <c r="Q5" t="s">
        <v>152</v>
      </c>
    </row>
    <row r="6" spans="1:17" x14ac:dyDescent="0.2">
      <c r="A6" t="s">
        <v>118</v>
      </c>
      <c r="B6">
        <v>25990</v>
      </c>
      <c r="C6">
        <v>26.5</v>
      </c>
      <c r="E6">
        <f>((15000+12000)/2)/C6</f>
        <v>509.43396226415092</v>
      </c>
      <c r="G6" t="s">
        <v>153</v>
      </c>
      <c r="J6">
        <f>B6+(E6*$B$2)</f>
        <v>27803.584905660377</v>
      </c>
      <c r="K6">
        <f>B6+((E6*$B$2)*2)</f>
        <v>29617.169811320753</v>
      </c>
      <c r="L6">
        <f>B6+((E6*$B$2)*3)</f>
        <v>31430.75471698113</v>
      </c>
      <c r="M6">
        <f>B6+((E6*$B$2)*4)</f>
        <v>33244.339622641506</v>
      </c>
      <c r="N6">
        <f>B6+((E6*$B$2)*5)</f>
        <v>35057.924528301883</v>
      </c>
      <c r="O6">
        <f>B6+((E6*$B$2)*6)</f>
        <v>36871.509433962259</v>
      </c>
      <c r="P6">
        <f>B6+((E6*$B$2)*7)</f>
        <v>38685.094339622643</v>
      </c>
      <c r="Q6">
        <f>B6+((E6*$B$2)*8)</f>
        <v>40498.67924528302</v>
      </c>
    </row>
    <row r="7" spans="1:17" x14ac:dyDescent="0.2">
      <c r="A7" t="s">
        <v>99</v>
      </c>
      <c r="B7">
        <v>31672</v>
      </c>
      <c r="C7">
        <v>47</v>
      </c>
      <c r="E7">
        <f>((15000+12000)/2)/C7</f>
        <v>287.2340425531915</v>
      </c>
      <c r="G7" t="s">
        <v>154</v>
      </c>
      <c r="J7">
        <f>B7+(E7*$B$2)</f>
        <v>32694.553191489362</v>
      </c>
      <c r="K7">
        <f>B7+((E7*$B$2)*2)</f>
        <v>33717.106382978724</v>
      </c>
      <c r="L7">
        <f>B7+((E7*$B$2)*3)</f>
        <v>34739.659574468082</v>
      </c>
      <c r="M7">
        <f>B7+((E7*$B$2)*4)</f>
        <v>35762.212765957447</v>
      </c>
      <c r="N7">
        <f>B7+((E7*$B$2)*5)</f>
        <v>36784.765957446813</v>
      </c>
      <c r="O7">
        <f>B7+((E7*$B$2)*6)</f>
        <v>37807.319148936171</v>
      </c>
      <c r="P7">
        <f>B7+((E7*$B$2)*7)</f>
        <v>38829.872340425529</v>
      </c>
      <c r="Q7">
        <f>B7+((E7*$B$2)*8)</f>
        <v>39852.425531914894</v>
      </c>
    </row>
  </sheetData>
  <mergeCells count="2">
    <mergeCell ref="B1:D1"/>
    <mergeCell ref="B2:D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07362348195943B9218C07C5442ECD" ma:contentTypeVersion="" ma:contentTypeDescription="Create a new document." ma:contentTypeScope="" ma:versionID="8d70caabc581a483bee3e3b69c68571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B88AD7F-DF18-450A-969E-914DFB5A8B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52DA1F2-8C61-439B-82D6-ACA1B5BCFE0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3D8542-86F8-4726-B5D1-0629996FB1B4}">
  <ds:schemaRefs>
    <ds:schemaRef ds:uri="http://schemas.microsoft.com/office/2006/metadata/properties"/>
    <ds:schemaRef ds:uri="http://schemas.microsoft.com/office/infopath/2007/PartnerControls"/>
    <ds:schemaRef ds:uri="http://purl.org/dc/dcmitype/"/>
    <ds:schemaRef ds:uri="http://www.w3.org/XML/1998/namespace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Hierarchy &amp; Data</vt:lpstr>
      <vt:lpstr>TopDown</vt:lpstr>
      <vt:lpstr>Sheet1</vt:lpstr>
      <vt:lpstr>'Hierarchy &amp; Data'!Print_Area</vt:lpstr>
    </vt:vector>
  </TitlesOfParts>
  <Company>USMA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Classroom</dc:creator>
  <cp:lastModifiedBy>Test</cp:lastModifiedBy>
  <cp:lastPrinted>2014-02-11T16:55:12Z</cp:lastPrinted>
  <dcterms:created xsi:type="dcterms:W3CDTF">2006-06-15T21:14:13Z</dcterms:created>
  <dcterms:modified xsi:type="dcterms:W3CDTF">2016-02-17T18:19:03Z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0x0101000107362348195943B9218C07C5442ECD</vt:lpwstr>
  </property>
</Properties>
</file>